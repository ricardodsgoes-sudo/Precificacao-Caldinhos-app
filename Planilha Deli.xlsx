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s\Desktop\"/>
    </mc:Choice>
  </mc:AlternateContent>
  <xr:revisionPtr revIDLastSave="0" documentId="13_ncr:1_{F3ACF8AC-9D6F-418B-8147-38AAC33FCC69}" xr6:coauthVersionLast="47" xr6:coauthVersionMax="47" xr10:uidLastSave="{00000000-0000-0000-0000-000000000000}"/>
  <bookViews>
    <workbookView xWindow="-110" yWindow="-110" windowWidth="19420" windowHeight="10300" xr2:uid="{98DF8325-422B-439B-B106-E05F2D242139}"/>
  </bookViews>
  <sheets>
    <sheet name="Ingredientes" sheetId="3" r:id="rId1"/>
    <sheet name="Custo Unitári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J93" i="1"/>
  <c r="J90" i="1"/>
  <c r="J91" i="1"/>
  <c r="J76" i="1"/>
  <c r="J73" i="1"/>
  <c r="J74" i="1"/>
  <c r="J60" i="1"/>
  <c r="J57" i="1"/>
  <c r="J58" i="1"/>
  <c r="J43" i="1"/>
  <c r="J40" i="1"/>
  <c r="J41" i="1"/>
  <c r="F88" i="1"/>
  <c r="G88" i="1"/>
  <c r="J88" i="1"/>
  <c r="E88" i="1"/>
  <c r="F71" i="1"/>
  <c r="G71" i="1"/>
  <c r="J71" i="1"/>
  <c r="E71" i="1"/>
  <c r="F55" i="1"/>
  <c r="G55" i="1"/>
  <c r="J55" i="1"/>
  <c r="E55" i="1"/>
  <c r="F38" i="1"/>
  <c r="G38" i="1"/>
  <c r="J38" i="1"/>
  <c r="E38" i="1"/>
  <c r="F21" i="1"/>
  <c r="G21" i="1"/>
  <c r="E21" i="1"/>
  <c r="J26" i="1"/>
  <c r="J23" i="1"/>
  <c r="J24" i="1"/>
  <c r="F5" i="1"/>
  <c r="E5" i="1"/>
  <c r="J21" i="1"/>
  <c r="G5" i="1"/>
  <c r="J5" i="1"/>
  <c r="J7" i="1"/>
  <c r="J8" i="1"/>
  <c r="J10" i="1"/>
</calcChain>
</file>

<file path=xl/sharedStrings.xml><?xml version="1.0" encoding="utf-8"?>
<sst xmlns="http://schemas.openxmlformats.org/spreadsheetml/2006/main" count="77" uniqueCount="24">
  <si>
    <t>Ingredientes</t>
  </si>
  <si>
    <t>Quantidade</t>
  </si>
  <si>
    <t>Preço Fechado</t>
  </si>
  <si>
    <t>Custo Proporcional</t>
  </si>
  <si>
    <t>Quantidade da Embalagem</t>
  </si>
  <si>
    <t>Custo por unidade</t>
  </si>
  <si>
    <t>Preço de venda</t>
  </si>
  <si>
    <t>Lucro</t>
  </si>
  <si>
    <t>Lucro %</t>
  </si>
  <si>
    <t>Meta %</t>
  </si>
  <si>
    <t>Valor a ser vendido estimado</t>
  </si>
  <si>
    <t>Frango</t>
  </si>
  <si>
    <t>Frango Rústico</t>
  </si>
  <si>
    <t>Carne Louca</t>
  </si>
  <si>
    <t>Camarão</t>
  </si>
  <si>
    <t>Caldo Verde</t>
  </si>
  <si>
    <t>Bacon c/ Calabresa</t>
  </si>
  <si>
    <t>Valor Fechado</t>
  </si>
  <si>
    <t>Embalagem Fechada (g)</t>
  </si>
  <si>
    <t>Quantidade da Embalagem (g)</t>
  </si>
  <si>
    <t>Quantidade (g)</t>
  </si>
  <si>
    <t>Tomate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</si>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</sst>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BB15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4" borderId="0" xfId="0" applyFill="1"/>
    <xf numFmtId="0" fontId="2" fillId="4" borderId="0" xfId="0" applyFont="1" applyFill="1" applyBorder="1" applyAlignment="1">
      <alignment horizontal="center" vertical="center" wrapText="1"/>
    </xf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/>
    <xf numFmtId="0" fontId="5" fillId="2" borderId="1" xfId="0" applyFont="1" applyFill="1" applyBorder="1"/>
    <xf numFmtId="44" fontId="5" fillId="2" borderId="1" xfId="1" applyFont="1" applyFill="1" applyBorder="1"/>
    <xf numFmtId="0" fontId="4" fillId="0" borderId="1" xfId="0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4" fontId="5" fillId="0" borderId="1" xfId="1" applyFont="1" applyBorder="1" applyProtection="1">
      <protection locked="0"/>
    </xf>
    <xf numFmtId="9" fontId="4" fillId="0" borderId="1" xfId="2" applyFont="1" applyBorder="1" applyProtection="1">
      <protection locked="0"/>
    </xf>
    <xf numFmtId="44" fontId="4" fillId="2" borderId="1" xfId="1" applyFont="1" applyFill="1" applyBorder="1" applyProtection="1">
      <protection hidden="1"/>
    </xf>
    <xf numFmtId="0" fontId="0" fillId="4" borderId="0" xfId="0" applyFill="1" applyProtection="1"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44" fontId="4" fillId="2" borderId="1" xfId="1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Protection="1">
      <protection hidden="1"/>
    </xf>
    <xf numFmtId="9" fontId="4" fillId="2" borderId="1" xfId="2" applyFont="1" applyFill="1" applyBorder="1" applyProtection="1">
      <protection hidden="1"/>
    </xf>
    <xf numFmtId="0" fontId="5" fillId="2" borderId="1" xfId="0" applyFont="1" applyFill="1" applyBorder="1" applyProtection="1">
      <protection hidden="1"/>
    </xf>
    <xf numFmtId="44" fontId="5" fillId="2" borderId="1" xfId="1" applyFont="1" applyFill="1" applyBorder="1" applyProtection="1">
      <protection hidden="1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5" borderId="1" xfId="1" applyNumberFormat="1" applyFont="1" applyFill="1" applyBorder="1" applyAlignment="1" applyProtection="1">
      <alignment horizontal="center" vertical="center"/>
      <protection locked="0"/>
    </xf>
    <xf numFmtId="44" fontId="3" fillId="5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4" borderId="0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Border="1" applyAlignment="1">
      <alignment horizontal="center"/>
    </xf>
    <xf numFmtId="0" fontId="0" fillId="4" borderId="0" xfId="0" applyFill="1" applyAlignment="1" applyProtection="1">
      <alignment horizontal="center"/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hidden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BB157"/>
      <color rgb="FFEAEAEA"/>
      <color rgb="FFFCC480"/>
      <color rgb="FFFEE8CE"/>
      <color rgb="FFFA9C2A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6788729</xdr:colOff>
      <xdr:row>0</xdr:row>
      <xdr:rowOff>473363</xdr:rowOff>
    </xdr:from>
    <xdr:to>
      <xdr:col>3</xdr:col>
      <xdr:colOff>1023217</xdr:colOff>
      <xdr:row>2</xdr:row>
      <xdr:rowOff>554181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37967C0-1A44-42BB-B854-6ED3D1580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6547" y="473363"/>
          <a:ext cx="3921125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4133273</xdr:colOff>
      <xdr:row>0</xdr:row>
      <xdr:rowOff>69272</xdr:rowOff>
    </xdr:from>
    <xdr:to>
      <xdr:col>1</xdr:col>
      <xdr:colOff>6558686</xdr:colOff>
      <xdr:row>2</xdr:row>
      <xdr:rowOff>930233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DA69527-E468-4C7A-9152-F87970ACA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1091" y="69272"/>
          <a:ext cx="2425413" cy="2304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11546</xdr:colOff>
      <xdr:row>0</xdr:row>
      <xdr:rowOff>404091</xdr:rowOff>
    </xdr:from>
    <xdr:to>
      <xdr:col>7</xdr:col>
      <xdr:colOff>88036</xdr:colOff>
      <xdr:row>2</xdr:row>
      <xdr:rowOff>484909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A673213C-8F22-2722-44C1-822F203F1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4637" y="404091"/>
          <a:ext cx="3921125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1986643</xdr:colOff>
      <xdr:row>0</xdr:row>
      <xdr:rowOff>72572</xdr:rowOff>
    </xdr:from>
    <xdr:to>
      <xdr:col>3</xdr:col>
      <xdr:colOff>1073770</xdr:colOff>
      <xdr:row>2</xdr:row>
      <xdr:rowOff>934358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BB7A839-E48B-41E1-79E7-74544C1E1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286" y="72572"/>
          <a:ext cx="2425413" cy="2304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B0DE-05E0-4F2D-938A-A6676AB0F638}">
  <dimension ref="A1:K95"/>
  <sheetViews>
    <sheetView showGridLines="0" tabSelected="1" zoomScale="55" zoomScaleNormal="55" workbookViewId="0">
      <selection activeCell="B5" sqref="B5"/>
    </sheetView>
  </sheetViews>
  <sheetFormatPr defaultColWidth="0" defaultRowHeight="14.45" customHeight="1" zeroHeight="1" x14ac:dyDescent="0.2"/>
  <cols>
    <col min="1" max="1" width="2.95703125" style="2" customWidth="1"/>
    <col min="2" max="2" width="102.91015625" style="8" customWidth="1"/>
    <col min="3" max="3" width="35.78125" style="8" customWidth="1"/>
    <col min="4" max="4" width="21.92578125" style="2" customWidth="1"/>
    <col min="5" max="5" width="18.29296875" style="2" customWidth="1"/>
    <col min="6" max="11" width="0" style="2" hidden="1" customWidth="1"/>
    <col min="12" max="16384" width="8.7421875" style="2" hidden="1"/>
  </cols>
  <sheetData>
    <row r="1" spans="1:6" customFormat="1" ht="99.6" customHeight="1" x14ac:dyDescent="0.2">
      <c r="A1" s="3"/>
      <c r="B1" s="36"/>
      <c r="C1" s="36"/>
      <c r="D1" s="36"/>
      <c r="E1" s="36"/>
    </row>
    <row r="2" spans="1:6" customFormat="1" ht="15" x14ac:dyDescent="0.2">
      <c r="A2" s="3"/>
      <c r="B2" s="36"/>
      <c r="C2" s="36"/>
      <c r="D2" s="36"/>
      <c r="E2" s="36"/>
    </row>
    <row r="3" spans="1:6" customFormat="1" ht="80.45" customHeight="1" x14ac:dyDescent="0.2">
      <c r="A3" s="3"/>
      <c r="B3" s="37"/>
      <c r="C3" s="37"/>
      <c r="D3" s="37"/>
      <c r="E3" s="37"/>
    </row>
    <row r="4" spans="1:6" customFormat="1" ht="45.95" customHeight="1" x14ac:dyDescent="0.2">
      <c r="A4" s="3"/>
      <c r="B4" s="22" t="s">
        <v>0</v>
      </c>
      <c r="C4" s="22" t="s">
        <v>18</v>
      </c>
      <c r="D4" s="22" t="s">
        <v>17</v>
      </c>
      <c r="E4" s="34"/>
      <c r="F4" s="5"/>
    </row>
    <row r="5" spans="1:6" s="11" customFormat="1" ht="21.95" customHeight="1" x14ac:dyDescent="0.2">
      <c r="A5" s="9"/>
      <c r="B5" s="29" t="str">
        <f>'Custo Unitário'!B70</f>
        <v>Caldo Verde</v>
      </c>
      <c r="C5" s="30">
        <v>1000</v>
      </c>
      <c r="D5" s="31">
        <v>25</v>
      </c>
      <c r="E5" s="10"/>
      <c r="F5" s="10"/>
    </row>
    <row r="6" spans="1:6" s="11" customFormat="1" ht="21.95" customHeight="1" x14ac:dyDescent="0.2">
      <c r="A6" s="9"/>
      <c r="B6" s="29" t="s">
        <v>21</v>
      </c>
      <c r="C6" s="29">
        <v>1000</v>
      </c>
      <c r="D6" s="31" t="s">
        <v>22</v>
      </c>
      <c r="E6" s="10"/>
      <c r="F6" s="10"/>
    </row>
    <row r="7" spans="1:6" s="11" customFormat="1" ht="21.95" customHeight="1" x14ac:dyDescent="0.2">
      <c r="A7" s="9"/>
      <c r="B7" s="29"/>
      <c r="C7" s="29"/>
      <c r="D7" s="31"/>
      <c r="E7" s="10"/>
      <c r="F7" s="10"/>
    </row>
    <row r="8" spans="1:6" s="11" customFormat="1" ht="21.95" customHeight="1" x14ac:dyDescent="0.2">
      <c r="A8" s="9"/>
      <c r="B8" s="29"/>
      <c r="C8" s="29"/>
      <c r="D8" s="31"/>
      <c r="E8" s="10"/>
      <c r="F8" s="10"/>
    </row>
    <row r="9" spans="1:6" s="11" customFormat="1" ht="21.95" customHeight="1" x14ac:dyDescent="0.2">
      <c r="A9" s="9"/>
      <c r="B9" s="29"/>
      <c r="C9" s="29"/>
      <c r="D9" s="31"/>
      <c r="E9" s="10"/>
      <c r="F9" s="10"/>
    </row>
    <row r="10" spans="1:6" s="11" customFormat="1" ht="21.95" customHeight="1" x14ac:dyDescent="0.2">
      <c r="A10" s="9"/>
      <c r="B10" s="29"/>
      <c r="C10" s="29"/>
      <c r="D10" s="31"/>
      <c r="E10" s="10"/>
      <c r="F10" s="10"/>
    </row>
    <row r="11" spans="1:6" s="11" customFormat="1" ht="21.95" customHeight="1" x14ac:dyDescent="0.2">
      <c r="A11" s="9"/>
      <c r="B11" s="29"/>
      <c r="C11" s="29"/>
      <c r="D11" s="31"/>
      <c r="E11" s="10"/>
      <c r="F11" s="10"/>
    </row>
    <row r="12" spans="1:6" s="11" customFormat="1" ht="21.95" customHeight="1" x14ac:dyDescent="0.2">
      <c r="A12" s="9"/>
      <c r="B12" s="29"/>
      <c r="C12" s="29"/>
      <c r="D12" s="31"/>
      <c r="E12" s="10"/>
      <c r="F12" s="10"/>
    </row>
    <row r="13" spans="1:6" s="11" customFormat="1" ht="21.95" customHeight="1" x14ac:dyDescent="0.2">
      <c r="A13" s="9"/>
      <c r="B13" s="29"/>
      <c r="C13" s="29"/>
      <c r="D13" s="31"/>
      <c r="E13" s="10"/>
      <c r="F13" s="10"/>
    </row>
    <row r="14" spans="1:6" s="11" customFormat="1" ht="21.95" customHeight="1" x14ac:dyDescent="0.2">
      <c r="A14" s="9"/>
      <c r="B14" s="29"/>
      <c r="C14" s="29"/>
      <c r="D14" s="31"/>
      <c r="E14" s="10"/>
      <c r="F14" s="10"/>
    </row>
    <row r="15" spans="1:6" s="11" customFormat="1" ht="21.95" customHeight="1" x14ac:dyDescent="0.2">
      <c r="A15" s="9"/>
      <c r="B15" s="29"/>
      <c r="C15" s="29"/>
      <c r="D15" s="31"/>
      <c r="E15" s="10"/>
      <c r="F15" s="10"/>
    </row>
    <row r="16" spans="1:6" s="11" customFormat="1" ht="21.95" customHeight="1" x14ac:dyDescent="0.2">
      <c r="A16" s="9"/>
      <c r="B16" s="29"/>
      <c r="C16" s="29"/>
      <c r="D16" s="31"/>
      <c r="E16" s="10"/>
      <c r="F16" s="10"/>
    </row>
    <row r="17" spans="1:6" s="11" customFormat="1" ht="21.95" customHeight="1" x14ac:dyDescent="0.2">
      <c r="A17" s="9"/>
      <c r="B17" s="29"/>
      <c r="C17" s="29"/>
      <c r="D17" s="31"/>
      <c r="E17" s="10"/>
      <c r="F17" s="10"/>
    </row>
    <row r="18" spans="1:6" s="11" customFormat="1" ht="21.95" customHeight="1" x14ac:dyDescent="0.2">
      <c r="A18" s="9"/>
      <c r="B18" s="29"/>
      <c r="C18" s="29"/>
      <c r="D18" s="31"/>
      <c r="E18" s="10"/>
      <c r="F18" s="10"/>
    </row>
    <row r="19" spans="1:6" s="11" customFormat="1" ht="21.95" customHeight="1" x14ac:dyDescent="0.2">
      <c r="A19" s="9"/>
      <c r="B19" s="29"/>
      <c r="C19" s="29"/>
      <c r="D19" s="31"/>
      <c r="E19" s="10"/>
      <c r="F19" s="10"/>
    </row>
    <row r="20" spans="1:6" customFormat="1" ht="15" x14ac:dyDescent="0.2">
      <c r="A20" s="3"/>
      <c r="B20" s="6"/>
      <c r="C20" s="6"/>
      <c r="D20" s="5"/>
      <c r="E20" s="5"/>
    </row>
    <row r="21" spans="1:6" customFormat="1" ht="45.95" customHeight="1" x14ac:dyDescent="0.2">
      <c r="A21" s="3"/>
      <c r="B21" s="4"/>
      <c r="C21" s="4"/>
      <c r="D21" s="4"/>
      <c r="E21" s="4"/>
    </row>
    <row r="22" spans="1:6" customFormat="1" ht="15" x14ac:dyDescent="0.2">
      <c r="A22" s="3"/>
      <c r="B22" s="35"/>
      <c r="C22" s="6"/>
      <c r="D22" s="5"/>
      <c r="E22" s="5"/>
    </row>
    <row r="23" spans="1:6" customFormat="1" ht="15" x14ac:dyDescent="0.2">
      <c r="A23" s="3"/>
      <c r="B23" s="35"/>
      <c r="C23" s="6"/>
      <c r="D23" s="5"/>
      <c r="E23" s="5"/>
    </row>
    <row r="24" spans="1:6" customFormat="1" ht="15" x14ac:dyDescent="0.2">
      <c r="A24" s="3"/>
      <c r="B24" s="35"/>
      <c r="C24" s="6"/>
      <c r="D24" s="5"/>
      <c r="E24" s="5"/>
    </row>
    <row r="25" spans="1:6" customFormat="1" ht="15" x14ac:dyDescent="0.2">
      <c r="A25" s="3"/>
      <c r="B25" s="35"/>
      <c r="C25" s="6"/>
      <c r="D25" s="5"/>
      <c r="E25" s="5"/>
    </row>
    <row r="26" spans="1:6" customFormat="1" ht="15" x14ac:dyDescent="0.2">
      <c r="A26" s="3"/>
      <c r="B26" s="35"/>
      <c r="C26" s="6"/>
      <c r="D26" s="5"/>
      <c r="E26" s="5"/>
    </row>
    <row r="27" spans="1:6" customFormat="1" ht="15" x14ac:dyDescent="0.2">
      <c r="A27" s="3"/>
      <c r="B27" s="35"/>
      <c r="C27" s="6"/>
      <c r="D27" s="5"/>
      <c r="E27" s="5"/>
    </row>
    <row r="28" spans="1:6" customFormat="1" ht="15" x14ac:dyDescent="0.2">
      <c r="A28" s="3"/>
      <c r="B28" s="35"/>
      <c r="C28" s="6"/>
      <c r="D28" s="5"/>
      <c r="E28" s="5"/>
    </row>
    <row r="29" spans="1:6" customFormat="1" ht="15" x14ac:dyDescent="0.2">
      <c r="A29" s="3"/>
      <c r="B29" s="35"/>
      <c r="C29" s="6"/>
      <c r="D29" s="5"/>
      <c r="E29" s="5"/>
    </row>
    <row r="30" spans="1:6" customFormat="1" ht="15" x14ac:dyDescent="0.2">
      <c r="A30" s="3"/>
      <c r="B30" s="35"/>
      <c r="C30" s="6"/>
      <c r="D30" s="5"/>
      <c r="E30" s="5"/>
    </row>
    <row r="31" spans="1:6" customFormat="1" ht="15" x14ac:dyDescent="0.2">
      <c r="A31" s="3"/>
      <c r="B31" s="35"/>
      <c r="C31" s="6"/>
      <c r="D31" s="5"/>
      <c r="E31" s="5"/>
    </row>
    <row r="32" spans="1:6" customFormat="1" ht="15" x14ac:dyDescent="0.2">
      <c r="A32" s="3"/>
      <c r="B32" s="6"/>
      <c r="C32" s="6"/>
      <c r="D32" s="5"/>
      <c r="E32" s="5"/>
    </row>
    <row r="33" spans="1:5" customFormat="1" ht="45.95" customHeight="1" x14ac:dyDescent="0.2">
      <c r="A33" s="3"/>
      <c r="B33" s="4"/>
      <c r="C33" s="4"/>
      <c r="D33" s="4"/>
      <c r="E33" s="4"/>
    </row>
    <row r="34" spans="1:5" customFormat="1" ht="15" x14ac:dyDescent="0.2">
      <c r="A34" s="3"/>
      <c r="B34" s="35"/>
      <c r="C34" s="6"/>
      <c r="D34" s="5"/>
      <c r="E34" s="5"/>
    </row>
    <row r="35" spans="1:5" customFormat="1" ht="15" x14ac:dyDescent="0.2">
      <c r="A35" s="3"/>
      <c r="B35" s="35"/>
      <c r="C35" s="6"/>
      <c r="D35" s="5"/>
      <c r="E35" s="5"/>
    </row>
    <row r="36" spans="1:5" customFormat="1" ht="15" x14ac:dyDescent="0.2">
      <c r="A36" s="3"/>
      <c r="B36" s="35"/>
      <c r="C36" s="6"/>
      <c r="D36" s="5"/>
      <c r="E36" s="5"/>
    </row>
    <row r="37" spans="1:5" customFormat="1" ht="15" x14ac:dyDescent="0.2">
      <c r="A37" s="3"/>
      <c r="B37" s="35"/>
      <c r="C37" s="6"/>
      <c r="D37" s="5"/>
      <c r="E37" s="5"/>
    </row>
    <row r="38" spans="1:5" customFormat="1" ht="15" x14ac:dyDescent="0.2">
      <c r="A38" s="3"/>
      <c r="B38" s="35"/>
      <c r="C38" s="6"/>
      <c r="D38" s="5"/>
      <c r="E38" s="5"/>
    </row>
    <row r="39" spans="1:5" customFormat="1" ht="15" x14ac:dyDescent="0.2">
      <c r="A39" s="3"/>
      <c r="B39" s="35"/>
      <c r="C39" s="6"/>
      <c r="D39" s="5"/>
      <c r="E39" s="5"/>
    </row>
    <row r="40" spans="1:5" customFormat="1" ht="15" x14ac:dyDescent="0.2">
      <c r="A40" s="3"/>
      <c r="B40" s="35"/>
      <c r="C40" s="6"/>
      <c r="D40" s="5"/>
      <c r="E40" s="5"/>
    </row>
    <row r="41" spans="1:5" customFormat="1" ht="15" x14ac:dyDescent="0.2">
      <c r="A41" s="3"/>
      <c r="B41" s="35"/>
      <c r="C41" s="6"/>
      <c r="D41" s="5"/>
      <c r="E41" s="5"/>
    </row>
    <row r="42" spans="1:5" customFormat="1" ht="15" x14ac:dyDescent="0.2">
      <c r="A42" s="3"/>
      <c r="B42" s="35"/>
      <c r="C42" s="6"/>
      <c r="D42" s="5"/>
      <c r="E42" s="5"/>
    </row>
    <row r="43" spans="1:5" customFormat="1" ht="15" x14ac:dyDescent="0.2">
      <c r="A43" s="3"/>
      <c r="B43" s="35"/>
      <c r="C43" s="6"/>
      <c r="D43" s="5"/>
      <c r="E43" s="5"/>
    </row>
    <row r="44" spans="1:5" customFormat="1" ht="15" x14ac:dyDescent="0.2">
      <c r="A44" s="3"/>
      <c r="B44" s="6"/>
      <c r="C44" s="6"/>
      <c r="D44" s="5"/>
      <c r="E44" s="5"/>
    </row>
    <row r="45" spans="1:5" customFormat="1" ht="45.95" customHeight="1" x14ac:dyDescent="0.2">
      <c r="A45" s="3"/>
      <c r="B45" s="4"/>
      <c r="C45" s="4"/>
      <c r="D45" s="4"/>
      <c r="E45" s="4"/>
    </row>
    <row r="46" spans="1:5" customFormat="1" ht="15" x14ac:dyDescent="0.2">
      <c r="A46" s="3"/>
      <c r="B46" s="35"/>
      <c r="C46" s="6"/>
      <c r="D46" s="5"/>
      <c r="E46" s="5"/>
    </row>
    <row r="47" spans="1:5" customFormat="1" ht="15" x14ac:dyDescent="0.2">
      <c r="A47" s="3"/>
      <c r="B47" s="35"/>
      <c r="C47" s="6"/>
      <c r="D47" s="5"/>
      <c r="E47" s="5"/>
    </row>
    <row r="48" spans="1:5" customFormat="1" ht="15" x14ac:dyDescent="0.2">
      <c r="A48" s="3"/>
      <c r="B48" s="35"/>
      <c r="C48" s="6"/>
      <c r="D48" s="5"/>
      <c r="E48" s="5"/>
    </row>
    <row r="49" spans="1:5" customFormat="1" ht="15" x14ac:dyDescent="0.2">
      <c r="A49" s="3"/>
      <c r="B49" s="35"/>
      <c r="C49" s="6"/>
      <c r="D49" s="5"/>
      <c r="E49" s="5"/>
    </row>
    <row r="50" spans="1:5" customFormat="1" ht="15" x14ac:dyDescent="0.2">
      <c r="A50" s="3"/>
      <c r="B50" s="35"/>
      <c r="C50" s="6"/>
      <c r="D50" s="5"/>
      <c r="E50" s="5"/>
    </row>
    <row r="51" spans="1:5" customFormat="1" ht="15" x14ac:dyDescent="0.2">
      <c r="A51" s="3"/>
      <c r="B51" s="35"/>
      <c r="C51" s="6"/>
      <c r="D51" s="5"/>
      <c r="E51" s="5"/>
    </row>
    <row r="52" spans="1:5" customFormat="1" ht="15" x14ac:dyDescent="0.2">
      <c r="A52" s="3"/>
      <c r="B52" s="35"/>
      <c r="C52" s="6"/>
      <c r="D52" s="5"/>
      <c r="E52" s="5"/>
    </row>
    <row r="53" spans="1:5" customFormat="1" ht="15" x14ac:dyDescent="0.2">
      <c r="A53" s="3"/>
      <c r="B53" s="35"/>
      <c r="C53" s="6"/>
      <c r="D53" s="5"/>
      <c r="E53" s="5"/>
    </row>
    <row r="54" spans="1:5" customFormat="1" ht="15" x14ac:dyDescent="0.2">
      <c r="A54" s="3"/>
      <c r="B54" s="35"/>
      <c r="C54" s="6"/>
      <c r="D54" s="5"/>
      <c r="E54" s="5"/>
    </row>
    <row r="55" spans="1:5" customFormat="1" ht="15" x14ac:dyDescent="0.2">
      <c r="A55" s="3"/>
      <c r="B55" s="35"/>
      <c r="C55" s="6"/>
      <c r="D55" s="5"/>
      <c r="E55" s="5"/>
    </row>
    <row r="56" spans="1:5" customFormat="1" ht="15" x14ac:dyDescent="0.2">
      <c r="A56" s="3"/>
      <c r="B56" s="6"/>
      <c r="C56" s="6"/>
      <c r="D56" s="5"/>
      <c r="E56" s="5"/>
    </row>
    <row r="57" spans="1:5" customFormat="1" ht="45.95" customHeight="1" x14ac:dyDescent="0.2">
      <c r="A57" s="3"/>
      <c r="B57" s="4"/>
      <c r="C57" s="4"/>
      <c r="D57" s="4"/>
      <c r="E57" s="4"/>
    </row>
    <row r="58" spans="1:5" customFormat="1" ht="15" x14ac:dyDescent="0.2">
      <c r="A58" s="3"/>
      <c r="B58" s="35"/>
      <c r="C58" s="6"/>
      <c r="D58" s="5"/>
      <c r="E58" s="5"/>
    </row>
    <row r="59" spans="1:5" customFormat="1" ht="15" x14ac:dyDescent="0.2">
      <c r="A59" s="3"/>
      <c r="B59" s="35"/>
      <c r="C59" s="6"/>
      <c r="D59" s="5"/>
      <c r="E59" s="5"/>
    </row>
    <row r="60" spans="1:5" customFormat="1" ht="15" x14ac:dyDescent="0.2">
      <c r="A60" s="3"/>
      <c r="B60" s="35"/>
      <c r="C60" s="6"/>
      <c r="D60" s="5"/>
      <c r="E60" s="5"/>
    </row>
    <row r="61" spans="1:5" customFormat="1" ht="15" x14ac:dyDescent="0.2">
      <c r="A61" s="3"/>
      <c r="B61" s="35"/>
      <c r="C61" s="6"/>
      <c r="D61" s="5"/>
      <c r="E61" s="5"/>
    </row>
    <row r="62" spans="1:5" customFormat="1" ht="15" x14ac:dyDescent="0.2">
      <c r="A62" s="3"/>
      <c r="B62" s="35"/>
      <c r="C62" s="6"/>
      <c r="D62" s="5"/>
      <c r="E62" s="5"/>
    </row>
    <row r="63" spans="1:5" customFormat="1" ht="15" x14ac:dyDescent="0.2">
      <c r="A63" s="3"/>
      <c r="B63" s="35"/>
      <c r="C63" s="6"/>
      <c r="D63" s="5"/>
      <c r="E63" s="5"/>
    </row>
    <row r="64" spans="1:5" customFormat="1" ht="15" x14ac:dyDescent="0.2">
      <c r="A64" s="3"/>
      <c r="B64" s="35"/>
      <c r="C64" s="6"/>
      <c r="D64" s="5"/>
      <c r="E64" s="5"/>
    </row>
    <row r="65" spans="1:5" customFormat="1" ht="15" x14ac:dyDescent="0.2">
      <c r="A65" s="3"/>
      <c r="B65" s="35"/>
      <c r="C65" s="6"/>
      <c r="D65" s="5"/>
      <c r="E65" s="5"/>
    </row>
    <row r="66" spans="1:5" customFormat="1" ht="15" x14ac:dyDescent="0.2">
      <c r="A66" s="3"/>
      <c r="B66" s="35"/>
      <c r="C66" s="6"/>
      <c r="D66" s="5"/>
      <c r="E66" s="5"/>
    </row>
    <row r="67" spans="1:5" customFormat="1" ht="15" x14ac:dyDescent="0.2">
      <c r="A67" s="3"/>
      <c r="B67" s="35"/>
      <c r="C67" s="6"/>
      <c r="D67" s="5"/>
      <c r="E67" s="5"/>
    </row>
    <row r="68" spans="1:5" customFormat="1" ht="15" x14ac:dyDescent="0.2">
      <c r="A68" s="3"/>
      <c r="B68" s="6"/>
      <c r="C68" s="6"/>
      <c r="D68" s="5"/>
      <c r="E68" s="5"/>
    </row>
    <row r="69" spans="1:5" customFormat="1" ht="45.95" customHeight="1" x14ac:dyDescent="0.2">
      <c r="A69" s="3"/>
      <c r="B69" s="4"/>
      <c r="C69" s="4"/>
      <c r="D69" s="4"/>
      <c r="E69" s="4"/>
    </row>
    <row r="70" spans="1:5" customFormat="1" ht="15" x14ac:dyDescent="0.2">
      <c r="A70" s="3"/>
      <c r="B70" s="35"/>
      <c r="C70" s="6"/>
      <c r="D70" s="5"/>
      <c r="E70" s="5"/>
    </row>
    <row r="71" spans="1:5" customFormat="1" ht="15" x14ac:dyDescent="0.2">
      <c r="A71" s="3"/>
      <c r="B71" s="35"/>
      <c r="C71" s="6"/>
      <c r="D71" s="5"/>
      <c r="E71" s="5"/>
    </row>
    <row r="72" spans="1:5" customFormat="1" ht="15" x14ac:dyDescent="0.2">
      <c r="A72" s="3"/>
      <c r="B72" s="35"/>
      <c r="C72" s="6"/>
      <c r="D72" s="5"/>
      <c r="E72" s="5"/>
    </row>
    <row r="73" spans="1:5" customFormat="1" ht="15" x14ac:dyDescent="0.2">
      <c r="A73" s="3"/>
      <c r="B73" s="35"/>
      <c r="C73" s="6"/>
      <c r="D73" s="5"/>
      <c r="E73" s="5"/>
    </row>
    <row r="74" spans="1:5" customFormat="1" ht="15" x14ac:dyDescent="0.2">
      <c r="A74" s="3"/>
      <c r="B74" s="35"/>
      <c r="C74" s="6"/>
      <c r="D74" s="5"/>
      <c r="E74" s="5"/>
    </row>
    <row r="75" spans="1:5" customFormat="1" ht="15" x14ac:dyDescent="0.2">
      <c r="A75" s="3"/>
      <c r="B75" s="35"/>
      <c r="C75" s="6"/>
      <c r="D75" s="5"/>
      <c r="E75" s="5"/>
    </row>
    <row r="76" spans="1:5" customFormat="1" ht="15" x14ac:dyDescent="0.2">
      <c r="A76" s="3"/>
      <c r="B76" s="35"/>
      <c r="C76" s="6"/>
      <c r="D76" s="5"/>
      <c r="E76" s="5"/>
    </row>
    <row r="77" spans="1:5" customFormat="1" ht="15" x14ac:dyDescent="0.2">
      <c r="A77" s="3"/>
      <c r="B77" s="35"/>
      <c r="C77" s="6"/>
      <c r="D77" s="5"/>
      <c r="E77" s="5"/>
    </row>
    <row r="78" spans="1:5" customFormat="1" ht="15" x14ac:dyDescent="0.2">
      <c r="A78" s="3"/>
      <c r="B78" s="35"/>
      <c r="C78" s="6"/>
      <c r="D78" s="5"/>
      <c r="E78" s="5"/>
    </row>
    <row r="79" spans="1:5" customFormat="1" ht="15" x14ac:dyDescent="0.2">
      <c r="A79" s="3"/>
      <c r="B79" s="35"/>
      <c r="C79" s="6"/>
      <c r="D79" s="5"/>
      <c r="E79" s="5"/>
    </row>
    <row r="80" spans="1:5" customFormat="1" ht="15" x14ac:dyDescent="0.2">
      <c r="A80" s="3"/>
      <c r="B80" s="6"/>
      <c r="C80" s="6"/>
      <c r="D80" s="5"/>
      <c r="E80" s="5"/>
    </row>
    <row r="81" spans="1:5" customFormat="1" ht="15" x14ac:dyDescent="0.2">
      <c r="A81" s="3"/>
      <c r="B81" s="6"/>
      <c r="C81" s="6"/>
      <c r="D81" s="5"/>
      <c r="E81" s="5"/>
    </row>
    <row r="82" spans="1:5" customFormat="1" ht="15" x14ac:dyDescent="0.2">
      <c r="A82" s="3"/>
      <c r="B82" s="6"/>
      <c r="C82" s="6"/>
      <c r="D82" s="5"/>
      <c r="E82" s="5"/>
    </row>
    <row r="83" spans="1:5" customFormat="1" ht="15" x14ac:dyDescent="0.2">
      <c r="A83" s="3"/>
      <c r="B83" s="7"/>
      <c r="C83" s="7"/>
      <c r="D83" s="3"/>
      <c r="E83" s="3"/>
    </row>
    <row r="84" spans="1:5" customFormat="1" ht="15" x14ac:dyDescent="0.2">
      <c r="A84" s="3"/>
      <c r="B84" s="7"/>
      <c r="C84" s="7"/>
      <c r="D84" s="3"/>
      <c r="E84" s="3"/>
    </row>
    <row r="85" spans="1:5" customFormat="1" ht="15" x14ac:dyDescent="0.2">
      <c r="A85" s="3"/>
      <c r="B85" s="7"/>
      <c r="C85" s="7"/>
      <c r="D85" s="3"/>
      <c r="E85" s="3"/>
    </row>
    <row r="86" spans="1:5" ht="15" hidden="1" x14ac:dyDescent="0.2"/>
    <row r="87" spans="1:5" ht="15" hidden="1" x14ac:dyDescent="0.2"/>
    <row r="88" spans="1:5" ht="15" hidden="1" x14ac:dyDescent="0.2"/>
    <row r="89" spans="1:5" ht="15" hidden="1" x14ac:dyDescent="0.2"/>
    <row r="90" spans="1:5" ht="15" hidden="1" x14ac:dyDescent="0.2"/>
    <row r="91" spans="1:5" ht="15" hidden="1" x14ac:dyDescent="0.2"/>
    <row r="92" spans="1:5" ht="14.45" customHeight="1" x14ac:dyDescent="0.2"/>
    <row r="93" spans="1:5" ht="14.45" customHeight="1" x14ac:dyDescent="0.2"/>
    <row r="94" spans="1:5" ht="14.45" customHeight="1" x14ac:dyDescent="0.2"/>
    <row r="95" spans="1:5" ht="14.45" customHeight="1" x14ac:dyDescent="0.2"/>
  </sheetData>
  <sheetProtection algorithmName="SHA-512" hashValue="NroG3Lyw+W6VvHsd48Yl4m7rBosskjM+jblWUEwEtoK/CB/1ek/TGk3iSI0Gr3C4uL3U9C5XVrkUhGHpYvw52Q==" saltValue="XJ4WKE513ctYYaDBFHuXlA==" spinCount="100000" sheet="1" objects="1" scenarios="1"/>
  <mergeCells count="7">
    <mergeCell ref="B58:B67"/>
    <mergeCell ref="B70:B79"/>
    <mergeCell ref="B1:C3"/>
    <mergeCell ref="D1:E3"/>
    <mergeCell ref="B22:B31"/>
    <mergeCell ref="B34:B43"/>
    <mergeCell ref="B46:B55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6DA0-EAF6-4738-A0BA-42D4FBA11C46}">
  <dimension ref="A1:K107"/>
  <sheetViews>
    <sheetView showGridLines="0" zoomScale="70" zoomScaleNormal="70" workbookViewId="0">
      <selection activeCell="F5" sqref="F5"/>
    </sheetView>
  </sheetViews>
  <sheetFormatPr defaultColWidth="0" defaultRowHeight="15" zeroHeight="1" x14ac:dyDescent="0.2"/>
  <cols>
    <col min="1" max="1" width="2.95703125" style="2" customWidth="1"/>
    <col min="2" max="2" width="27.44140625" style="2" customWidth="1"/>
    <col min="3" max="3" width="47.75390625" style="2" customWidth="1"/>
    <col min="4" max="7" width="18.29296875" style="2" customWidth="1"/>
    <col min="8" max="8" width="8.875" style="2" customWidth="1"/>
    <col min="9" max="9" width="30.1328125" style="2" bestFit="1" customWidth="1"/>
    <col min="10" max="10" width="15.87109375" style="2" customWidth="1"/>
    <col min="11" max="11" width="2.95703125" style="2" customWidth="1"/>
    <col min="12" max="16384" width="8.7421875" style="2" hidden="1"/>
  </cols>
  <sheetData>
    <row r="1" spans="1:11" customFormat="1" ht="99.6" customHeight="1" x14ac:dyDescent="0.2">
      <c r="A1" s="21"/>
      <c r="B1" s="36"/>
      <c r="C1" s="36"/>
      <c r="D1" s="36"/>
      <c r="E1" s="36"/>
      <c r="F1" s="36"/>
      <c r="G1" s="36"/>
      <c r="H1" s="21"/>
      <c r="I1" s="21"/>
      <c r="J1" s="21"/>
      <c r="K1" s="21"/>
    </row>
    <row r="2" spans="1:11" customFormat="1" x14ac:dyDescent="0.2">
      <c r="A2" s="21"/>
      <c r="B2" s="36"/>
      <c r="C2" s="36"/>
      <c r="D2" s="36"/>
      <c r="E2" s="36"/>
      <c r="F2" s="36"/>
      <c r="G2" s="36"/>
      <c r="H2" s="21"/>
      <c r="I2" s="21"/>
      <c r="J2" s="21"/>
      <c r="K2" s="21"/>
    </row>
    <row r="3" spans="1:11" customFormat="1" ht="80.45" customHeight="1" x14ac:dyDescent="0.2">
      <c r="A3" s="21"/>
      <c r="B3" s="39"/>
      <c r="C3" s="39"/>
      <c r="D3" s="39"/>
      <c r="E3" s="39"/>
      <c r="F3" s="39"/>
      <c r="G3" s="39"/>
      <c r="H3" s="21"/>
      <c r="I3" s="21"/>
      <c r="J3" s="21"/>
      <c r="K3" s="21"/>
    </row>
    <row r="4" spans="1:11" customFormat="1" ht="45.95" customHeight="1" x14ac:dyDescent="0.25">
      <c r="A4" s="3"/>
      <c r="B4" s="1" t="s">
        <v>11</v>
      </c>
      <c r="C4" s="1" t="s">
        <v>0</v>
      </c>
      <c r="D4" s="1" t="s">
        <v>20</v>
      </c>
      <c r="E4" s="22" t="s">
        <v>19</v>
      </c>
      <c r="F4" s="22" t="s">
        <v>2</v>
      </c>
      <c r="G4" s="22" t="s">
        <v>3</v>
      </c>
      <c r="H4" s="3"/>
      <c r="I4" s="3"/>
      <c r="J4" s="3"/>
      <c r="K4" s="3"/>
    </row>
    <row r="5" spans="1:11" customFormat="1" ht="17.100000000000001" customHeight="1" x14ac:dyDescent="0.25">
      <c r="A5" s="3"/>
      <c r="B5" s="38"/>
      <c r="C5" s="15"/>
      <c r="D5" s="16"/>
      <c r="E5" s="23" t="str">
        <f>IF(C5="","",VLOOKUP(C5,Ingredientes!B:C,2,0))</f>
        <v/>
      </c>
      <c r="F5" s="24" t="str">
        <f>IF(C5="","",VLOOKUP(C5,Ingredientes!B:E,3,0))</f>
        <v/>
      </c>
      <c r="G5" s="24" t="str">
        <f>IF(C5="","",F5/E5*D5)</f>
        <v/>
      </c>
      <c r="H5" s="3"/>
      <c r="I5" s="12" t="s">
        <v>5</v>
      </c>
      <c r="J5" s="20" t="str">
        <f>IF(G5="","",SUM(G5:G18))</f>
        <v/>
      </c>
      <c r="K5" s="3"/>
    </row>
    <row r="6" spans="1:11" customFormat="1" ht="17.100000000000001" customHeight="1" x14ac:dyDescent="0.25">
      <c r="A6" s="3"/>
      <c r="B6" s="38"/>
      <c r="C6" s="15"/>
      <c r="D6" s="17"/>
      <c r="E6" s="23" t="str">
        <f>IF(C6="","",VLOOKUP(C6,Ingredientes!B:C,2,0))</f>
        <v/>
      </c>
      <c r="F6" s="24" t="str">
        <f>IF(C6="","",VLOOKUP(C6,Ingredientes!B:E,3,0))</f>
        <v/>
      </c>
      <c r="G6" s="24" t="str">
        <f t="shared" ref="G6:G18" si="0">IF(C6="","",F6/E6*D6)</f>
        <v/>
      </c>
      <c r="H6" s="3"/>
      <c r="I6" s="33" t="s">
        <v>6</v>
      </c>
      <c r="J6" s="18"/>
      <c r="K6" s="3"/>
    </row>
    <row r="7" spans="1:11" customFormat="1" ht="17.100000000000001" customHeight="1" x14ac:dyDescent="0.25">
      <c r="A7" s="3"/>
      <c r="B7" s="38"/>
      <c r="C7" s="15"/>
      <c r="D7" s="17"/>
      <c r="E7" s="23" t="str">
        <f>IF(C7="","",VLOOKUP(C7,Ingredientes!B:C,2,0))</f>
        <v/>
      </c>
      <c r="F7" s="24" t="str">
        <f>IF(C7="","",VLOOKUP(C7,Ingredientes!B:E,3,0))</f>
        <v/>
      </c>
      <c r="G7" s="24" t="str">
        <f t="shared" si="0"/>
        <v/>
      </c>
      <c r="H7" s="3"/>
      <c r="I7" s="25" t="s">
        <v>7</v>
      </c>
      <c r="J7" s="20" t="str">
        <f>IF(J6="","",J6-J5)</f>
        <v/>
      </c>
      <c r="K7" s="3"/>
    </row>
    <row r="8" spans="1:11" customFormat="1" ht="17.100000000000001" customHeight="1" x14ac:dyDescent="0.25">
      <c r="A8" s="3"/>
      <c r="B8" s="38"/>
      <c r="C8" s="15"/>
      <c r="D8" s="17"/>
      <c r="E8" s="23" t="str">
        <f>IF(C8="","",VLOOKUP(C8,Ingredientes!B:C,2,0))</f>
        <v/>
      </c>
      <c r="F8" s="24" t="str">
        <f>IF(C8="","",VLOOKUP(C8,Ingredientes!B:E,3,0))</f>
        <v/>
      </c>
      <c r="G8" s="24" t="str">
        <f t="shared" si="0"/>
        <v/>
      </c>
      <c r="H8" s="3"/>
      <c r="I8" s="25" t="s">
        <v>8</v>
      </c>
      <c r="J8" s="26" t="str">
        <f>IF(J7="","",J7/J5)</f>
        <v/>
      </c>
      <c r="K8" s="3"/>
    </row>
    <row r="9" spans="1:11" customFormat="1" ht="17.100000000000001" customHeight="1" x14ac:dyDescent="0.25">
      <c r="A9" s="3"/>
      <c r="B9" s="38"/>
      <c r="C9" s="15"/>
      <c r="D9" s="17"/>
      <c r="E9" s="23" t="str">
        <f>IF(C9="","",VLOOKUP(C9,Ingredientes!B:C,2,0))</f>
        <v/>
      </c>
      <c r="F9" s="24" t="str">
        <f>IF(C9="","",VLOOKUP(C9,Ingredientes!B:E,3,0))</f>
        <v/>
      </c>
      <c r="G9" s="24" t="str">
        <f t="shared" si="0"/>
        <v/>
      </c>
      <c r="H9" s="3"/>
      <c r="I9" s="33" t="s">
        <v>9</v>
      </c>
      <c r="J9" s="19"/>
      <c r="K9" s="3"/>
    </row>
    <row r="10" spans="1:11" customFormat="1" ht="17.100000000000001" customHeight="1" x14ac:dyDescent="0.25">
      <c r="A10" s="3"/>
      <c r="B10" s="38"/>
      <c r="C10" s="15"/>
      <c r="D10" s="17"/>
      <c r="E10" s="23" t="str">
        <f>IF(C10="","",VLOOKUP(C10,Ingredientes!B:C,2,0))</f>
        <v/>
      </c>
      <c r="F10" s="24" t="str">
        <f>IF(C10="","",VLOOKUP(C10,Ingredientes!B:E,3,0))</f>
        <v/>
      </c>
      <c r="G10" s="24" t="str">
        <f t="shared" si="0"/>
        <v/>
      </c>
      <c r="H10" s="3"/>
      <c r="I10" s="27" t="s">
        <v>10</v>
      </c>
      <c r="J10" s="28" t="str">
        <f>IF(J9="","",(J5*J9)+J5)</f>
        <v/>
      </c>
      <c r="K10" s="3"/>
    </row>
    <row r="11" spans="1:11" customFormat="1" ht="17.100000000000001" customHeight="1" x14ac:dyDescent="0.25">
      <c r="A11" s="3"/>
      <c r="B11" s="38"/>
      <c r="C11" s="15"/>
      <c r="D11" s="17"/>
      <c r="E11" s="23" t="str">
        <f>IF(C11="","",VLOOKUP(C11,Ingredientes!B:C,2,0))</f>
        <v/>
      </c>
      <c r="F11" s="24" t="str">
        <f>IF(C11="","",VLOOKUP(C11,Ingredientes!B:E,3,0))</f>
        <v/>
      </c>
      <c r="G11" s="24" t="str">
        <f t="shared" si="0"/>
        <v/>
      </c>
      <c r="H11" s="3"/>
      <c r="I11" s="3"/>
      <c r="J11" s="3"/>
      <c r="K11" s="3"/>
    </row>
    <row r="12" spans="1:11" customFormat="1" ht="17.100000000000001" customHeight="1" x14ac:dyDescent="0.25">
      <c r="A12" s="3"/>
      <c r="B12" s="38"/>
      <c r="C12" s="15"/>
      <c r="D12" s="17"/>
      <c r="E12" s="23" t="str">
        <f>IF(C12="","",VLOOKUP(C12,Ingredientes!B:C,2,0))</f>
        <v/>
      </c>
      <c r="F12" s="24" t="str">
        <f>IF(C12="","",VLOOKUP(C12,Ingredientes!B:E,3,0))</f>
        <v/>
      </c>
      <c r="G12" s="24" t="str">
        <f t="shared" si="0"/>
        <v/>
      </c>
      <c r="H12" s="3"/>
      <c r="I12" s="3"/>
      <c r="J12" s="3"/>
      <c r="K12" s="3"/>
    </row>
    <row r="13" spans="1:11" customFormat="1" ht="17.100000000000001" customHeight="1" x14ac:dyDescent="0.25">
      <c r="A13" s="3"/>
      <c r="B13" s="38"/>
      <c r="C13" s="15"/>
      <c r="D13" s="17"/>
      <c r="E13" s="23" t="str">
        <f>IF(C13="","",VLOOKUP(C13,Ingredientes!B:C,2,0))</f>
        <v/>
      </c>
      <c r="F13" s="24" t="str">
        <f>IF(C13="","",VLOOKUP(C13,Ingredientes!B:E,3,0))</f>
        <v/>
      </c>
      <c r="G13" s="24" t="str">
        <f t="shared" si="0"/>
        <v/>
      </c>
      <c r="H13" s="3"/>
      <c r="I13" s="3"/>
      <c r="J13" s="3"/>
      <c r="K13" s="3"/>
    </row>
    <row r="14" spans="1:11" customFormat="1" ht="17.100000000000001" customHeight="1" x14ac:dyDescent="0.25">
      <c r="A14" s="3"/>
      <c r="B14" s="38"/>
      <c r="C14" s="15"/>
      <c r="D14" s="17"/>
      <c r="E14" s="23" t="str">
        <f>IF(C14="","",VLOOKUP(C14,Ingredientes!B:C,2,0))</f>
        <v/>
      </c>
      <c r="F14" s="24" t="str">
        <f>IF(C14="","",VLOOKUP(C14,Ingredientes!B:E,3,0))</f>
        <v/>
      </c>
      <c r="G14" s="24" t="str">
        <f t="shared" si="0"/>
        <v/>
      </c>
      <c r="H14" s="3"/>
      <c r="I14" s="3"/>
      <c r="J14" s="3"/>
      <c r="K14" s="3"/>
    </row>
    <row r="15" spans="1:11" customFormat="1" ht="17.100000000000001" customHeight="1" x14ac:dyDescent="0.25">
      <c r="A15" s="3"/>
      <c r="B15" s="38"/>
      <c r="C15" s="15"/>
      <c r="D15" s="17"/>
      <c r="E15" s="23" t="str">
        <f>IF(C15="","",VLOOKUP(C15,Ingredientes!B:C,2,0))</f>
        <v/>
      </c>
      <c r="F15" s="24" t="str">
        <f>IF(C15="","",VLOOKUP(C15,Ingredientes!B:E,3,0))</f>
        <v/>
      </c>
      <c r="G15" s="24" t="str">
        <f t="shared" si="0"/>
        <v/>
      </c>
      <c r="H15" s="3"/>
      <c r="I15" s="3"/>
      <c r="J15" s="3"/>
      <c r="K15" s="3"/>
    </row>
    <row r="16" spans="1:11" customFormat="1" ht="17.100000000000001" customHeight="1" x14ac:dyDescent="0.25">
      <c r="A16" s="3"/>
      <c r="B16" s="38"/>
      <c r="C16" s="15"/>
      <c r="D16" s="17"/>
      <c r="E16" s="23" t="str">
        <f>IF(C16="","",VLOOKUP(C16,Ingredientes!B:C,2,0))</f>
        <v/>
      </c>
      <c r="F16" s="24" t="str">
        <f>IF(C16="","",VLOOKUP(C16,Ingredientes!B:E,3,0))</f>
        <v/>
      </c>
      <c r="G16" s="24" t="str">
        <f t="shared" si="0"/>
        <v/>
      </c>
      <c r="H16" s="3"/>
      <c r="I16" s="3"/>
      <c r="J16" s="3"/>
      <c r="K16" s="3"/>
    </row>
    <row r="17" spans="1:11" customFormat="1" ht="17.100000000000001" customHeight="1" x14ac:dyDescent="0.25">
      <c r="A17" s="3"/>
      <c r="B17" s="38"/>
      <c r="C17" s="15"/>
      <c r="D17" s="17"/>
      <c r="E17" s="23" t="str">
        <f>IF(C17="","",VLOOKUP(C17,Ingredientes!B:C,2,0))</f>
        <v/>
      </c>
      <c r="F17" s="24" t="str">
        <f>IF(C17="","",VLOOKUP(C17,Ingredientes!B:E,3,0))</f>
        <v/>
      </c>
      <c r="G17" s="24" t="str">
        <f t="shared" si="0"/>
        <v/>
      </c>
      <c r="H17" s="3"/>
      <c r="I17" s="3"/>
      <c r="J17" s="3"/>
      <c r="K17" s="3"/>
    </row>
    <row r="18" spans="1:11" customFormat="1" ht="17.100000000000001" customHeight="1" x14ac:dyDescent="0.25">
      <c r="A18" s="3"/>
      <c r="B18" s="38"/>
      <c r="C18" s="15"/>
      <c r="D18" s="17"/>
      <c r="E18" s="23" t="str">
        <f>IF(C18="","",VLOOKUP(C18,Ingredientes!B:C,2,0))</f>
        <v/>
      </c>
      <c r="F18" s="24" t="str">
        <f>IF(C18="","",VLOOKUP(C18,Ingredientes!B:E,3,0))</f>
        <v/>
      </c>
      <c r="G18" s="24" t="str">
        <f t="shared" si="0"/>
        <v/>
      </c>
      <c r="H18" s="3"/>
      <c r="I18" s="3"/>
      <c r="J18" s="3"/>
      <c r="K18" s="3"/>
    </row>
    <row r="19" spans="1:11" customForma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customFormat="1" ht="45.95" customHeight="1" x14ac:dyDescent="0.25">
      <c r="A20" s="3"/>
      <c r="B20" s="22" t="s">
        <v>12</v>
      </c>
      <c r="C20" s="22" t="s">
        <v>0</v>
      </c>
      <c r="D20" s="22" t="s">
        <v>1</v>
      </c>
      <c r="E20" s="22" t="s">
        <v>4</v>
      </c>
      <c r="F20" s="22" t="s">
        <v>2</v>
      </c>
      <c r="G20" s="22" t="s">
        <v>3</v>
      </c>
      <c r="H20" s="3"/>
      <c r="I20" s="3"/>
      <c r="J20" s="3"/>
      <c r="K20" s="3"/>
    </row>
    <row r="21" spans="1:11" customFormat="1" ht="18" x14ac:dyDescent="0.25">
      <c r="A21" s="3"/>
      <c r="B21" s="38"/>
      <c r="C21" s="15"/>
      <c r="D21" s="16"/>
      <c r="E21" s="23" t="str">
        <f>IF(C21="","",VLOOKUP(C21,Ingredientes!B:C,2,0))</f>
        <v/>
      </c>
      <c r="F21" s="24" t="str">
        <f>IF(C21="","",VLOOKUP(C21,Ingredientes!B:E,3,0))</f>
        <v/>
      </c>
      <c r="G21" s="24" t="str">
        <f>IF(C21="","",F21/E21*D21)</f>
        <v/>
      </c>
      <c r="H21" s="3"/>
      <c r="I21" s="25" t="s">
        <v>5</v>
      </c>
      <c r="J21" s="20" t="str">
        <f>IF(G21="","",SUM(G21:G34))</f>
        <v/>
      </c>
      <c r="K21" s="3"/>
    </row>
    <row r="22" spans="1:11" customFormat="1" ht="18" x14ac:dyDescent="0.25">
      <c r="A22" s="3"/>
      <c r="B22" s="38"/>
      <c r="C22" s="32"/>
      <c r="D22" s="32"/>
      <c r="E22" s="23" t="str">
        <f>IF(C22="","",VLOOKUP(C22,Ingredientes!B:C,2,0))</f>
        <v/>
      </c>
      <c r="F22" s="24" t="str">
        <f>IF(C22="","",VLOOKUP(C22,Ingredientes!B:E,3,0))</f>
        <v/>
      </c>
      <c r="G22" s="24" t="str">
        <f t="shared" ref="G22:G35" si="1">IF(C22="","",F22/E22*D22)</f>
        <v/>
      </c>
      <c r="H22" s="3"/>
      <c r="I22" s="33" t="s">
        <v>6</v>
      </c>
      <c r="J22" s="18"/>
      <c r="K22" s="3"/>
    </row>
    <row r="23" spans="1:11" customFormat="1" ht="18" x14ac:dyDescent="0.25">
      <c r="A23" s="3"/>
      <c r="B23" s="38"/>
      <c r="C23" s="32"/>
      <c r="D23" s="32"/>
      <c r="E23" s="23" t="str">
        <f>IF(C23="","",VLOOKUP(C23,Ingredientes!B:C,2,0))</f>
        <v/>
      </c>
      <c r="F23" s="24" t="str">
        <f>IF(C23="","",VLOOKUP(C23,Ingredientes!B:E,3,0))</f>
        <v/>
      </c>
      <c r="G23" s="24" t="str">
        <f t="shared" si="1"/>
        <v/>
      </c>
      <c r="H23" s="3"/>
      <c r="I23" s="25" t="s">
        <v>7</v>
      </c>
      <c r="J23" s="20" t="str">
        <f>IF(J22="","",J22-J21)</f>
        <v/>
      </c>
      <c r="K23" s="3"/>
    </row>
    <row r="24" spans="1:11" customFormat="1" ht="18" x14ac:dyDescent="0.25">
      <c r="A24" s="3"/>
      <c r="B24" s="38"/>
      <c r="C24" s="32"/>
      <c r="D24" s="32"/>
      <c r="E24" s="23" t="str">
        <f>IF(C24="","",VLOOKUP(C24,Ingredientes!B:C,2,0))</f>
        <v/>
      </c>
      <c r="F24" s="24" t="str">
        <f>IF(C24="","",VLOOKUP(C24,Ingredientes!B:E,3,0))</f>
        <v/>
      </c>
      <c r="G24" s="24" t="str">
        <f t="shared" si="1"/>
        <v/>
      </c>
      <c r="H24" s="3"/>
      <c r="I24" s="25" t="s">
        <v>8</v>
      </c>
      <c r="J24" s="26" t="str">
        <f>IF(J23="","",J23/J21)</f>
        <v/>
      </c>
      <c r="K24" s="3"/>
    </row>
    <row r="25" spans="1:11" customFormat="1" ht="18" x14ac:dyDescent="0.25">
      <c r="A25" s="3"/>
      <c r="B25" s="38"/>
      <c r="C25" s="32"/>
      <c r="D25" s="32"/>
      <c r="E25" s="23" t="str">
        <f>IF(C25="","",VLOOKUP(C25,Ingredientes!B:C,2,0))</f>
        <v/>
      </c>
      <c r="F25" s="24" t="str">
        <f>IF(C25="","",VLOOKUP(C25,Ingredientes!B:E,3,0))</f>
        <v/>
      </c>
      <c r="G25" s="24" t="str">
        <f t="shared" si="1"/>
        <v/>
      </c>
      <c r="H25" s="3"/>
      <c r="I25" s="33" t="s">
        <v>9</v>
      </c>
      <c r="J25" s="19"/>
      <c r="K25" s="3"/>
    </row>
    <row r="26" spans="1:11" customFormat="1" ht="18" x14ac:dyDescent="0.25">
      <c r="A26" s="3"/>
      <c r="B26" s="38"/>
      <c r="C26" s="32"/>
      <c r="D26" s="32"/>
      <c r="E26" s="23" t="str">
        <f>IF(C26="","",VLOOKUP(C26,Ingredientes!B:C,2,0))</f>
        <v/>
      </c>
      <c r="F26" s="24" t="str">
        <f>IF(C26="","",VLOOKUP(C26,Ingredientes!B:E,3,0))</f>
        <v/>
      </c>
      <c r="G26" s="24" t="str">
        <f t="shared" si="1"/>
        <v/>
      </c>
      <c r="H26" s="3"/>
      <c r="I26" s="27" t="s">
        <v>10</v>
      </c>
      <c r="J26" s="28" t="str">
        <f>IF(J25="","",(J21*J25)+J21)</f>
        <v/>
      </c>
      <c r="K26" s="3"/>
    </row>
    <row r="27" spans="1:11" customFormat="1" ht="18" x14ac:dyDescent="0.25">
      <c r="A27" s="3"/>
      <c r="B27" s="38"/>
      <c r="C27" s="32"/>
      <c r="D27" s="32"/>
      <c r="E27" s="23" t="str">
        <f>IF(C27="","",VLOOKUP(C27,Ingredientes!B:C,2,0))</f>
        <v/>
      </c>
      <c r="F27" s="24" t="str">
        <f>IF(C27="","",VLOOKUP(C27,Ingredientes!B:E,3,0))</f>
        <v/>
      </c>
      <c r="G27" s="24" t="str">
        <f t="shared" si="1"/>
        <v/>
      </c>
      <c r="H27" s="3"/>
      <c r="I27" s="3"/>
      <c r="J27" s="3"/>
      <c r="K27" s="3"/>
    </row>
    <row r="28" spans="1:11" customFormat="1" ht="18" x14ac:dyDescent="0.25">
      <c r="A28" s="3"/>
      <c r="B28" s="38"/>
      <c r="C28" s="32"/>
      <c r="D28" s="32"/>
      <c r="E28" s="23" t="str">
        <f>IF(C28="","",VLOOKUP(C28,Ingredientes!B:C,2,0))</f>
        <v/>
      </c>
      <c r="F28" s="24" t="str">
        <f>IF(C28="","",VLOOKUP(C28,Ingredientes!B:E,3,0))</f>
        <v/>
      </c>
      <c r="G28" s="24" t="str">
        <f t="shared" si="1"/>
        <v/>
      </c>
      <c r="H28" s="3"/>
      <c r="I28" s="3"/>
      <c r="J28" s="3"/>
      <c r="K28" s="3"/>
    </row>
    <row r="29" spans="1:11" customFormat="1" ht="18" x14ac:dyDescent="0.25">
      <c r="A29" s="3"/>
      <c r="B29" s="38"/>
      <c r="C29" s="32"/>
      <c r="D29" s="32"/>
      <c r="E29" s="23" t="str">
        <f>IF(C29="","",VLOOKUP(C29,Ingredientes!B:C,2,0))</f>
        <v/>
      </c>
      <c r="F29" s="24" t="str">
        <f>IF(C29="","",VLOOKUP(C29,Ingredientes!B:E,3,0))</f>
        <v/>
      </c>
      <c r="G29" s="24" t="str">
        <f t="shared" si="1"/>
        <v/>
      </c>
      <c r="H29" s="3"/>
      <c r="I29" s="3"/>
      <c r="J29" s="3"/>
      <c r="K29" s="3"/>
    </row>
    <row r="30" spans="1:11" customFormat="1" ht="18" x14ac:dyDescent="0.25">
      <c r="A30" s="3"/>
      <c r="B30" s="38"/>
      <c r="C30" s="32"/>
      <c r="D30" s="32"/>
      <c r="E30" s="23" t="str">
        <f>IF(C30="","",VLOOKUP(C30,Ingredientes!B:C,2,0))</f>
        <v/>
      </c>
      <c r="F30" s="24" t="str">
        <f>IF(C30="","",VLOOKUP(C30,Ingredientes!B:E,3,0))</f>
        <v/>
      </c>
      <c r="G30" s="24" t="str">
        <f t="shared" si="1"/>
        <v/>
      </c>
      <c r="H30" s="3"/>
      <c r="I30" s="3"/>
      <c r="J30" s="3"/>
      <c r="K30" s="3"/>
    </row>
    <row r="31" spans="1:11" customFormat="1" ht="18" x14ac:dyDescent="0.25">
      <c r="A31" s="3"/>
      <c r="B31" s="38"/>
      <c r="C31" s="32"/>
      <c r="D31" s="32"/>
      <c r="E31" s="23" t="str">
        <f>IF(C31="","",VLOOKUP(C31,Ingredientes!B:C,2,0))</f>
        <v/>
      </c>
      <c r="F31" s="24" t="str">
        <f>IF(C31="","",VLOOKUP(C31,Ingredientes!B:E,3,0))</f>
        <v/>
      </c>
      <c r="G31" s="24" t="str">
        <f t="shared" si="1"/>
        <v/>
      </c>
      <c r="H31" s="3"/>
      <c r="I31" s="3"/>
      <c r="J31" s="3"/>
      <c r="K31" s="3"/>
    </row>
    <row r="32" spans="1:11" customFormat="1" ht="18" x14ac:dyDescent="0.25">
      <c r="A32" s="3"/>
      <c r="B32" s="38"/>
      <c r="C32" s="32"/>
      <c r="D32" s="32"/>
      <c r="E32" s="23" t="str">
        <f>IF(C32="","",VLOOKUP(C32,Ingredientes!B:C,2,0))</f>
        <v/>
      </c>
      <c r="F32" s="24" t="str">
        <f>IF(C32="","",VLOOKUP(C32,Ingredientes!B:E,3,0))</f>
        <v/>
      </c>
      <c r="G32" s="24" t="str">
        <f t="shared" si="1"/>
        <v/>
      </c>
      <c r="H32" s="3"/>
      <c r="I32" s="3"/>
      <c r="J32" s="3"/>
      <c r="K32" s="3"/>
    </row>
    <row r="33" spans="1:11" customFormat="1" ht="18" x14ac:dyDescent="0.25">
      <c r="A33" s="3"/>
      <c r="B33" s="38"/>
      <c r="C33" s="32"/>
      <c r="D33" s="32"/>
      <c r="E33" s="23" t="str">
        <f>IF(C33="","",VLOOKUP(C33,Ingredientes!B:C,2,0))</f>
        <v/>
      </c>
      <c r="F33" s="24" t="str">
        <f>IF(C33="","",VLOOKUP(C33,Ingredientes!B:E,3,0))</f>
        <v/>
      </c>
      <c r="G33" s="24" t="str">
        <f t="shared" si="1"/>
        <v/>
      </c>
      <c r="H33" s="3"/>
      <c r="I33" s="3"/>
      <c r="J33" s="3"/>
      <c r="K33" s="3"/>
    </row>
    <row r="34" spans="1:11" customFormat="1" ht="18" x14ac:dyDescent="0.25">
      <c r="A34" s="3"/>
      <c r="B34" s="38"/>
      <c r="C34" s="32"/>
      <c r="D34" s="32"/>
      <c r="E34" s="23" t="str">
        <f>IF(C34="","",VLOOKUP(C34,Ingredientes!B:C,2,0))</f>
        <v/>
      </c>
      <c r="F34" s="24" t="str">
        <f>IF(C34="","",VLOOKUP(C34,Ingredientes!B:E,3,0))</f>
        <v/>
      </c>
      <c r="G34" s="24" t="str">
        <f t="shared" si="1"/>
        <v/>
      </c>
      <c r="H34" s="3"/>
      <c r="I34" s="3"/>
      <c r="J34" s="3"/>
      <c r="K34" s="3"/>
    </row>
    <row r="35" spans="1:11" customFormat="1" ht="18" x14ac:dyDescent="0.25">
      <c r="A35" s="3"/>
      <c r="B35" s="38"/>
      <c r="C35" s="32"/>
      <c r="D35" s="32"/>
      <c r="E35" s="23" t="str">
        <f>IF(C35="","",VLOOKUP(C35,Ingredientes!B:C,2,0))</f>
        <v/>
      </c>
      <c r="F35" s="24" t="str">
        <f>IF(C35="","",VLOOKUP(C35,Ingredientes!B:E,3,0))</f>
        <v/>
      </c>
      <c r="G35" s="24" t="str">
        <f t="shared" si="1"/>
        <v/>
      </c>
      <c r="H35" s="3"/>
      <c r="I35" s="3"/>
      <c r="J35" s="3"/>
      <c r="K35" s="3"/>
    </row>
    <row r="36" spans="1:11" customForma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customFormat="1" ht="45.95" customHeight="1" x14ac:dyDescent="0.25">
      <c r="A37" s="3"/>
      <c r="B37" s="22" t="s">
        <v>13</v>
      </c>
      <c r="C37" s="22" t="s">
        <v>0</v>
      </c>
      <c r="D37" s="22" t="s">
        <v>1</v>
      </c>
      <c r="E37" s="22" t="s">
        <v>4</v>
      </c>
      <c r="F37" s="22" t="s">
        <v>2</v>
      </c>
      <c r="G37" s="22" t="s">
        <v>3</v>
      </c>
      <c r="H37" s="3"/>
      <c r="I37" s="3"/>
      <c r="J37" s="3"/>
      <c r="K37" s="3"/>
    </row>
    <row r="38" spans="1:11" customFormat="1" ht="18" x14ac:dyDescent="0.25">
      <c r="A38" s="3"/>
      <c r="B38" s="38"/>
      <c r="C38" s="15"/>
      <c r="D38" s="16"/>
      <c r="E38" s="23" t="str">
        <f>IF(C38="","",VLOOKUP(C38,Ingredientes!B:C,2,0))</f>
        <v/>
      </c>
      <c r="F38" s="24" t="str">
        <f>IF(C38="","",VLOOKUP(C38,Ingredientes!B:E,3,0))</f>
        <v/>
      </c>
      <c r="G38" s="24" t="str">
        <f>IF(C38="","",F38/E38*D38)</f>
        <v/>
      </c>
      <c r="H38" s="3"/>
      <c r="I38" s="25" t="s">
        <v>5</v>
      </c>
      <c r="J38" s="20" t="str">
        <f>IF(G38="","",SUM(G38:G51))</f>
        <v/>
      </c>
      <c r="K38" s="3"/>
    </row>
    <row r="39" spans="1:11" customFormat="1" ht="18" x14ac:dyDescent="0.25">
      <c r="A39" s="3"/>
      <c r="B39" s="38"/>
      <c r="C39" s="32"/>
      <c r="D39" s="32"/>
      <c r="E39" s="23" t="str">
        <f>IF(C39="","",VLOOKUP(C39,Ingredientes!B:C,2,0))</f>
        <v/>
      </c>
      <c r="F39" s="24" t="str">
        <f>IF(C39="","",VLOOKUP(C39,Ingredientes!B:E,3,0))</f>
        <v/>
      </c>
      <c r="G39" s="24" t="str">
        <f t="shared" ref="G39:G52" si="2">IF(C39="","",F39/E39*D39)</f>
        <v/>
      </c>
      <c r="H39" s="3"/>
      <c r="I39" s="33" t="s">
        <v>6</v>
      </c>
      <c r="J39" s="18"/>
      <c r="K39" s="3"/>
    </row>
    <row r="40" spans="1:11" customFormat="1" ht="18" x14ac:dyDescent="0.25">
      <c r="A40" s="3"/>
      <c r="B40" s="38"/>
      <c r="C40" s="32"/>
      <c r="D40" s="32"/>
      <c r="E40" s="23" t="str">
        <f>IF(C40="","",VLOOKUP(C40,Ingredientes!B:C,2,0))</f>
        <v/>
      </c>
      <c r="F40" s="24" t="str">
        <f>IF(C40="","",VLOOKUP(C40,Ingredientes!B:E,3,0))</f>
        <v/>
      </c>
      <c r="G40" s="24" t="str">
        <f t="shared" si="2"/>
        <v/>
      </c>
      <c r="H40" s="3"/>
      <c r="I40" s="25" t="s">
        <v>7</v>
      </c>
      <c r="J40" s="20" t="str">
        <f>IF(J39="","",J39-J38)</f>
        <v/>
      </c>
      <c r="K40" s="3"/>
    </row>
    <row r="41" spans="1:11" customFormat="1" ht="18" x14ac:dyDescent="0.25">
      <c r="A41" s="3"/>
      <c r="B41" s="38"/>
      <c r="C41" s="32"/>
      <c r="D41" s="32"/>
      <c r="E41" s="23" t="str">
        <f>IF(C41="","",VLOOKUP(C41,Ingredientes!B:C,2,0))</f>
        <v/>
      </c>
      <c r="F41" s="24" t="str">
        <f>IF(C41="","",VLOOKUP(C41,Ingredientes!B:E,3,0))</f>
        <v/>
      </c>
      <c r="G41" s="24" t="str">
        <f t="shared" si="2"/>
        <v/>
      </c>
      <c r="H41" s="3"/>
      <c r="I41" s="25" t="s">
        <v>8</v>
      </c>
      <c r="J41" s="26" t="str">
        <f>IF(J40="","",J40/J38)</f>
        <v/>
      </c>
      <c r="K41" s="3"/>
    </row>
    <row r="42" spans="1:11" customFormat="1" ht="18" x14ac:dyDescent="0.25">
      <c r="A42" s="3"/>
      <c r="B42" s="38"/>
      <c r="C42" s="32"/>
      <c r="D42" s="32"/>
      <c r="E42" s="23" t="str">
        <f>IF(C42="","",VLOOKUP(C42,Ingredientes!B:C,2,0))</f>
        <v/>
      </c>
      <c r="F42" s="24" t="str">
        <f>IF(C42="","",VLOOKUP(C42,Ingredientes!B:E,3,0))</f>
        <v/>
      </c>
      <c r="G42" s="24" t="str">
        <f t="shared" si="2"/>
        <v/>
      </c>
      <c r="H42" s="3"/>
      <c r="I42" s="33" t="s">
        <v>9</v>
      </c>
      <c r="J42" s="19"/>
      <c r="K42" s="3"/>
    </row>
    <row r="43" spans="1:11" customFormat="1" ht="18" x14ac:dyDescent="0.25">
      <c r="A43" s="3"/>
      <c r="B43" s="38"/>
      <c r="C43" s="32"/>
      <c r="D43" s="32"/>
      <c r="E43" s="23" t="str">
        <f>IF(C43="","",VLOOKUP(C43,Ingredientes!B:C,2,0))</f>
        <v/>
      </c>
      <c r="F43" s="24" t="str">
        <f>IF(C43="","",VLOOKUP(C43,Ingredientes!B:E,3,0))</f>
        <v/>
      </c>
      <c r="G43" s="24" t="str">
        <f t="shared" si="2"/>
        <v/>
      </c>
      <c r="H43" s="3"/>
      <c r="I43" s="13" t="s">
        <v>10</v>
      </c>
      <c r="J43" s="14" t="str">
        <f>IF(J42="","",(J38*J42)+J38)</f>
        <v/>
      </c>
      <c r="K43" s="3"/>
    </row>
    <row r="44" spans="1:11" customFormat="1" ht="18" x14ac:dyDescent="0.25">
      <c r="A44" s="3"/>
      <c r="B44" s="38"/>
      <c r="C44" s="32"/>
      <c r="D44" s="32"/>
      <c r="E44" s="23" t="str">
        <f>IF(C44="","",VLOOKUP(C44,Ingredientes!B:C,2,0))</f>
        <v/>
      </c>
      <c r="F44" s="24" t="str">
        <f>IF(C44="","",VLOOKUP(C44,Ingredientes!B:E,3,0))</f>
        <v/>
      </c>
      <c r="G44" s="24" t="str">
        <f t="shared" si="2"/>
        <v/>
      </c>
      <c r="H44" s="3"/>
      <c r="I44" s="3"/>
      <c r="J44" s="3"/>
      <c r="K44" s="3"/>
    </row>
    <row r="45" spans="1:11" customFormat="1" ht="18" x14ac:dyDescent="0.25">
      <c r="A45" s="3"/>
      <c r="B45" s="38"/>
      <c r="C45" s="32"/>
      <c r="D45" s="32"/>
      <c r="E45" s="23" t="str">
        <f>IF(C45="","",VLOOKUP(C45,Ingredientes!B:C,2,0))</f>
        <v/>
      </c>
      <c r="F45" s="24" t="str">
        <f>IF(C45="","",VLOOKUP(C45,Ingredientes!B:E,3,0))</f>
        <v/>
      </c>
      <c r="G45" s="24" t="str">
        <f t="shared" si="2"/>
        <v/>
      </c>
      <c r="H45" s="3"/>
      <c r="I45" s="3"/>
      <c r="J45" s="3"/>
      <c r="K45" s="3"/>
    </row>
    <row r="46" spans="1:11" customFormat="1" ht="18" x14ac:dyDescent="0.25">
      <c r="A46" s="3"/>
      <c r="B46" s="38"/>
      <c r="C46" s="32"/>
      <c r="D46" s="32"/>
      <c r="E46" s="23" t="str">
        <f>IF(C46="","",VLOOKUP(C46,Ingredientes!B:C,2,0))</f>
        <v/>
      </c>
      <c r="F46" s="24" t="str">
        <f>IF(C46="","",VLOOKUP(C46,Ingredientes!B:E,3,0))</f>
        <v/>
      </c>
      <c r="G46" s="24" t="str">
        <f t="shared" si="2"/>
        <v/>
      </c>
      <c r="H46" s="3"/>
      <c r="I46" s="3"/>
      <c r="J46" s="3"/>
      <c r="K46" s="3"/>
    </row>
    <row r="47" spans="1:11" customFormat="1" ht="18" x14ac:dyDescent="0.25">
      <c r="A47" s="3"/>
      <c r="B47" s="38"/>
      <c r="C47" s="32"/>
      <c r="D47" s="32"/>
      <c r="E47" s="23" t="str">
        <f>IF(C47="","",VLOOKUP(C47,Ingredientes!B:C,2,0))</f>
        <v/>
      </c>
      <c r="F47" s="24" t="str">
        <f>IF(C47="","",VLOOKUP(C47,Ingredientes!B:E,3,0))</f>
        <v/>
      </c>
      <c r="G47" s="24" t="str">
        <f t="shared" si="2"/>
        <v/>
      </c>
      <c r="H47" s="3"/>
      <c r="I47" s="3"/>
      <c r="J47" s="3"/>
      <c r="K47" s="3"/>
    </row>
    <row r="48" spans="1:11" customFormat="1" ht="18" x14ac:dyDescent="0.25">
      <c r="A48" s="3"/>
      <c r="B48" s="38"/>
      <c r="C48" s="32"/>
      <c r="D48" s="32"/>
      <c r="E48" s="23" t="str">
        <f>IF(C48="","",VLOOKUP(C48,Ingredientes!B:C,2,0))</f>
        <v/>
      </c>
      <c r="F48" s="24" t="str">
        <f>IF(C48="","",VLOOKUP(C48,Ingredientes!B:E,3,0))</f>
        <v/>
      </c>
      <c r="G48" s="24" t="str">
        <f t="shared" si="2"/>
        <v/>
      </c>
      <c r="H48" s="3"/>
      <c r="I48" s="3"/>
      <c r="J48" s="3"/>
      <c r="K48" s="3"/>
    </row>
    <row r="49" spans="1:11" customFormat="1" ht="18" x14ac:dyDescent="0.25">
      <c r="A49" s="3"/>
      <c r="B49" s="38"/>
      <c r="C49" s="32"/>
      <c r="D49" s="32"/>
      <c r="E49" s="23" t="str">
        <f>IF(C49="","",VLOOKUP(C49,Ingredientes!B:C,2,0))</f>
        <v/>
      </c>
      <c r="F49" s="24" t="str">
        <f>IF(C49="","",VLOOKUP(C49,Ingredientes!B:E,3,0))</f>
        <v/>
      </c>
      <c r="G49" s="24" t="str">
        <f t="shared" si="2"/>
        <v/>
      </c>
      <c r="H49" s="3"/>
      <c r="I49" s="3"/>
      <c r="J49" s="3"/>
      <c r="K49" s="3"/>
    </row>
    <row r="50" spans="1:11" customFormat="1" ht="18" x14ac:dyDescent="0.25">
      <c r="A50" s="3"/>
      <c r="B50" s="38"/>
      <c r="C50" s="32"/>
      <c r="D50" s="32"/>
      <c r="E50" s="23" t="str">
        <f>IF(C50="","",VLOOKUP(C50,Ingredientes!B:C,2,0))</f>
        <v/>
      </c>
      <c r="F50" s="24" t="str">
        <f>IF(C50="","",VLOOKUP(C50,Ingredientes!B:E,3,0))</f>
        <v/>
      </c>
      <c r="G50" s="24" t="str">
        <f t="shared" si="2"/>
        <v/>
      </c>
      <c r="H50" s="3"/>
      <c r="I50" s="3"/>
      <c r="J50" s="3"/>
      <c r="K50" s="3"/>
    </row>
    <row r="51" spans="1:11" customFormat="1" ht="18" x14ac:dyDescent="0.25">
      <c r="A51" s="3"/>
      <c r="B51" s="38"/>
      <c r="C51" s="32"/>
      <c r="D51" s="32"/>
      <c r="E51" s="23" t="str">
        <f>IF(C51="","",VLOOKUP(C51,Ingredientes!B:C,2,0))</f>
        <v/>
      </c>
      <c r="F51" s="24" t="str">
        <f>IF(C51="","",VLOOKUP(C51,Ingredientes!B:E,3,0))</f>
        <v/>
      </c>
      <c r="G51" s="24" t="str">
        <f t="shared" si="2"/>
        <v/>
      </c>
      <c r="H51" s="3"/>
      <c r="I51" s="3"/>
      <c r="J51" s="3"/>
      <c r="K51" s="3"/>
    </row>
    <row r="52" spans="1:11" customFormat="1" ht="18" x14ac:dyDescent="0.25">
      <c r="A52" s="3"/>
      <c r="B52" s="38"/>
      <c r="C52" s="32"/>
      <c r="D52" s="32"/>
      <c r="E52" s="23" t="str">
        <f>IF(C52="","",VLOOKUP(C52,Ingredientes!B:C,2,0))</f>
        <v/>
      </c>
      <c r="F52" s="24" t="str">
        <f>IF(C52="","",VLOOKUP(C52,Ingredientes!B:E,3,0))</f>
        <v/>
      </c>
      <c r="G52" s="24" t="str">
        <f t="shared" si="2"/>
        <v/>
      </c>
      <c r="H52" s="3"/>
      <c r="I52" s="3"/>
      <c r="J52" s="3"/>
      <c r="K52" s="3"/>
    </row>
    <row r="53" spans="1:11" customForma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customFormat="1" ht="45.95" customHeight="1" x14ac:dyDescent="0.25">
      <c r="A54" s="3"/>
      <c r="B54" s="22" t="s">
        <v>14</v>
      </c>
      <c r="C54" s="22" t="s">
        <v>0</v>
      </c>
      <c r="D54" s="22" t="s">
        <v>1</v>
      </c>
      <c r="E54" s="22" t="s">
        <v>4</v>
      </c>
      <c r="F54" s="22" t="s">
        <v>2</v>
      </c>
      <c r="G54" s="22" t="s">
        <v>3</v>
      </c>
      <c r="H54" s="3"/>
      <c r="I54" s="3"/>
      <c r="J54" s="3"/>
      <c r="K54" s="3"/>
    </row>
    <row r="55" spans="1:11" customFormat="1" ht="18" x14ac:dyDescent="0.25">
      <c r="A55" s="3"/>
      <c r="B55" s="38"/>
      <c r="C55" s="15"/>
      <c r="D55" s="16"/>
      <c r="E55" s="23" t="str">
        <f>IF(C55="","",VLOOKUP(C55,Ingredientes!B:C,2,0))</f>
        <v/>
      </c>
      <c r="F55" s="24" t="str">
        <f>IF(C55="","",VLOOKUP(C55,Ingredientes!B:E,3,0))</f>
        <v/>
      </c>
      <c r="G55" s="24" t="str">
        <f>IF(C55="","",F55/E55*D55)</f>
        <v/>
      </c>
      <c r="H55" s="3"/>
      <c r="I55" s="25" t="s">
        <v>5</v>
      </c>
      <c r="J55" s="20" t="str">
        <f>IF(G55="","",SUM(G55:G68))</f>
        <v/>
      </c>
      <c r="K55" s="3"/>
    </row>
    <row r="56" spans="1:11" customFormat="1" ht="18" x14ac:dyDescent="0.25">
      <c r="A56" s="3"/>
      <c r="B56" s="38"/>
      <c r="C56" s="32"/>
      <c r="D56" s="32"/>
      <c r="E56" s="23" t="str">
        <f>IF(C56="","",VLOOKUP(C56,Ingredientes!B:C,2,0))</f>
        <v/>
      </c>
      <c r="F56" s="24" t="str">
        <f>IF(C56="","",VLOOKUP(C56,Ingredientes!B:E,3,0))</f>
        <v/>
      </c>
      <c r="G56" s="24" t="str">
        <f t="shared" ref="G56:G68" si="3">IF(C56="","",F56/E56*D56)</f>
        <v/>
      </c>
      <c r="H56" s="3"/>
      <c r="I56" s="33" t="s">
        <v>6</v>
      </c>
      <c r="J56" s="18"/>
      <c r="K56" s="3"/>
    </row>
    <row r="57" spans="1:11" customFormat="1" ht="18" x14ac:dyDescent="0.25">
      <c r="A57" s="3"/>
      <c r="B57" s="38"/>
      <c r="C57" s="32"/>
      <c r="D57" s="32"/>
      <c r="E57" s="23" t="str">
        <f>IF(C57="","",VLOOKUP(C57,Ingredientes!B:C,2,0))</f>
        <v/>
      </c>
      <c r="F57" s="24" t="str">
        <f>IF(C57="","",VLOOKUP(C57,Ingredientes!B:E,3,0))</f>
        <v/>
      </c>
      <c r="G57" s="24" t="str">
        <f t="shared" si="3"/>
        <v/>
      </c>
      <c r="H57" s="3"/>
      <c r="I57" s="25" t="s">
        <v>7</v>
      </c>
      <c r="J57" s="20" t="str">
        <f>IF(J56="","",J56-J55)</f>
        <v/>
      </c>
      <c r="K57" s="3"/>
    </row>
    <row r="58" spans="1:11" customFormat="1" ht="18" x14ac:dyDescent="0.25">
      <c r="A58" s="3"/>
      <c r="B58" s="38"/>
      <c r="C58" s="32"/>
      <c r="D58" s="32"/>
      <c r="E58" s="23" t="str">
        <f>IF(C58="","",VLOOKUP(C58,Ingredientes!B:C,2,0))</f>
        <v/>
      </c>
      <c r="F58" s="24" t="str">
        <f>IF(C58="","",VLOOKUP(C58,Ingredientes!B:E,3,0))</f>
        <v/>
      </c>
      <c r="G58" s="24" t="str">
        <f t="shared" si="3"/>
        <v/>
      </c>
      <c r="H58" s="3"/>
      <c r="I58" s="25" t="s">
        <v>8</v>
      </c>
      <c r="J58" s="26" t="str">
        <f>IF(J57="","",J57/J55)</f>
        <v/>
      </c>
      <c r="K58" s="3"/>
    </row>
    <row r="59" spans="1:11" customFormat="1" ht="18" x14ac:dyDescent="0.25">
      <c r="A59" s="3"/>
      <c r="B59" s="38"/>
      <c r="C59" s="32"/>
      <c r="D59" s="32"/>
      <c r="E59" s="23" t="str">
        <f>IF(C59="","",VLOOKUP(C59,Ingredientes!B:C,2,0))</f>
        <v/>
      </c>
      <c r="F59" s="24" t="str">
        <f>IF(C59="","",VLOOKUP(C59,Ingredientes!B:E,3,0))</f>
        <v/>
      </c>
      <c r="G59" s="24" t="str">
        <f t="shared" si="3"/>
        <v/>
      </c>
      <c r="H59" s="3"/>
      <c r="I59" s="33" t="s">
        <v>9</v>
      </c>
      <c r="J59" s="19"/>
      <c r="K59" s="3"/>
    </row>
    <row r="60" spans="1:11" customFormat="1" ht="18" x14ac:dyDescent="0.25">
      <c r="A60" s="3"/>
      <c r="B60" s="38"/>
      <c r="C60" s="32"/>
      <c r="D60" s="32"/>
      <c r="E60" s="23" t="str">
        <f>IF(C60="","",VLOOKUP(C60,Ingredientes!B:C,2,0))</f>
        <v/>
      </c>
      <c r="F60" s="24" t="str">
        <f>IF(C60="","",VLOOKUP(C60,Ingredientes!B:E,3,0))</f>
        <v/>
      </c>
      <c r="G60" s="24" t="str">
        <f t="shared" si="3"/>
        <v/>
      </c>
      <c r="H60" s="3"/>
      <c r="I60" s="27" t="s">
        <v>10</v>
      </c>
      <c r="J60" s="28" t="str">
        <f>IF(J59="","",(J55*J59)+J55)</f>
        <v/>
      </c>
      <c r="K60" s="3"/>
    </row>
    <row r="61" spans="1:11" customFormat="1" ht="18" x14ac:dyDescent="0.25">
      <c r="A61" s="3"/>
      <c r="B61" s="38"/>
      <c r="C61" s="32"/>
      <c r="D61" s="32"/>
      <c r="E61" s="23" t="str">
        <f>IF(C61="","",VLOOKUP(C61,Ingredientes!B:C,2,0))</f>
        <v/>
      </c>
      <c r="F61" s="24" t="str">
        <f>IF(C61="","",VLOOKUP(C61,Ingredientes!B:E,3,0))</f>
        <v/>
      </c>
      <c r="G61" s="24" t="str">
        <f t="shared" si="3"/>
        <v/>
      </c>
      <c r="H61" s="3"/>
      <c r="I61" s="3"/>
      <c r="J61" s="3"/>
      <c r="K61" s="3"/>
    </row>
    <row r="62" spans="1:11" customFormat="1" ht="18" x14ac:dyDescent="0.25">
      <c r="A62" s="3"/>
      <c r="B62" s="38"/>
      <c r="C62" s="32"/>
      <c r="D62" s="32"/>
      <c r="E62" s="23" t="str">
        <f>IF(C62="","",VLOOKUP(C62,Ingredientes!B:C,2,0))</f>
        <v/>
      </c>
      <c r="F62" s="24" t="str">
        <f>IF(C62="","",VLOOKUP(C62,Ingredientes!B:E,3,0))</f>
        <v/>
      </c>
      <c r="G62" s="24" t="str">
        <f t="shared" si="3"/>
        <v/>
      </c>
      <c r="H62" s="3"/>
      <c r="I62" s="3"/>
      <c r="J62" s="3"/>
      <c r="K62" s="3"/>
    </row>
    <row r="63" spans="1:11" customFormat="1" ht="18" x14ac:dyDescent="0.25">
      <c r="A63" s="3"/>
      <c r="B63" s="38"/>
      <c r="C63" s="32"/>
      <c r="D63" s="32"/>
      <c r="E63" s="23" t="str">
        <f>IF(C63="","",VLOOKUP(C63,Ingredientes!B:C,2,0))</f>
        <v/>
      </c>
      <c r="F63" s="24" t="str">
        <f>IF(C63="","",VLOOKUP(C63,Ingredientes!B:E,3,0))</f>
        <v/>
      </c>
      <c r="G63" s="24" t="str">
        <f t="shared" si="3"/>
        <v/>
      </c>
      <c r="H63" s="3"/>
      <c r="I63" s="3"/>
      <c r="J63" s="3"/>
      <c r="K63" s="3"/>
    </row>
    <row r="64" spans="1:11" customFormat="1" ht="18" x14ac:dyDescent="0.25">
      <c r="A64" s="3"/>
      <c r="B64" s="38"/>
      <c r="C64" s="32"/>
      <c r="D64" s="32"/>
      <c r="E64" s="23" t="str">
        <f>IF(C64="","",VLOOKUP(C64,Ingredientes!B:C,2,0))</f>
        <v/>
      </c>
      <c r="F64" s="24" t="str">
        <f>IF(C64="","",VLOOKUP(C64,Ingredientes!B:E,3,0))</f>
        <v/>
      </c>
      <c r="G64" s="24" t="str">
        <f t="shared" si="3"/>
        <v/>
      </c>
      <c r="H64" s="3"/>
      <c r="I64" s="3"/>
      <c r="J64" s="3"/>
      <c r="K64" s="3"/>
    </row>
    <row r="65" spans="1:11" customFormat="1" ht="18" x14ac:dyDescent="0.25">
      <c r="A65" s="3"/>
      <c r="B65" s="38"/>
      <c r="C65" s="32"/>
      <c r="D65" s="32"/>
      <c r="E65" s="23" t="str">
        <f>IF(C65="","",VLOOKUP(C65,Ingredientes!B:C,2,0))</f>
        <v/>
      </c>
      <c r="F65" s="24" t="str">
        <f>IF(C65="","",VLOOKUP(C65,Ingredientes!B:E,3,0))</f>
        <v/>
      </c>
      <c r="G65" s="24" t="str">
        <f t="shared" si="3"/>
        <v/>
      </c>
      <c r="H65" s="3"/>
      <c r="I65" s="3"/>
      <c r="J65" s="3"/>
      <c r="K65" s="3"/>
    </row>
    <row r="66" spans="1:11" customFormat="1" ht="18" x14ac:dyDescent="0.25">
      <c r="A66" s="3"/>
      <c r="B66" s="38"/>
      <c r="C66" s="32"/>
      <c r="D66" s="32"/>
      <c r="E66" s="23" t="str">
        <f>IF(C66="","",VLOOKUP(C66,Ingredientes!B:C,2,0))</f>
        <v/>
      </c>
      <c r="F66" s="24" t="str">
        <f>IF(C66="","",VLOOKUP(C66,Ingredientes!B:E,3,0))</f>
        <v/>
      </c>
      <c r="G66" s="24" t="str">
        <f t="shared" si="3"/>
        <v/>
      </c>
      <c r="H66" s="3"/>
      <c r="I66" s="3"/>
      <c r="J66" s="3"/>
      <c r="K66" s="3"/>
    </row>
    <row r="67" spans="1:11" customFormat="1" ht="18" x14ac:dyDescent="0.25">
      <c r="A67" s="3"/>
      <c r="B67" s="38"/>
      <c r="C67" s="32"/>
      <c r="D67" s="32"/>
      <c r="E67" s="23" t="str">
        <f>IF(C67="","",VLOOKUP(C67,Ingredientes!B:C,2,0))</f>
        <v/>
      </c>
      <c r="F67" s="24" t="str">
        <f>IF(C67="","",VLOOKUP(C67,Ingredientes!B:E,3,0))</f>
        <v/>
      </c>
      <c r="G67" s="24" t="str">
        <f t="shared" si="3"/>
        <v/>
      </c>
      <c r="H67" s="3"/>
      <c r="I67" s="3"/>
      <c r="J67" s="3"/>
      <c r="K67" s="3"/>
    </row>
    <row r="68" spans="1:11" customFormat="1" ht="18" x14ac:dyDescent="0.25">
      <c r="A68" s="3"/>
      <c r="B68" s="38"/>
      <c r="C68" s="32"/>
      <c r="D68" s="32"/>
      <c r="E68" s="23" t="str">
        <f>IF(C68="","",VLOOKUP(C68,Ingredientes!B:C,2,0))</f>
        <v/>
      </c>
      <c r="F68" s="24" t="str">
        <f>IF(C68="","",VLOOKUP(C68,Ingredientes!B:E,3,0))</f>
        <v/>
      </c>
      <c r="G68" s="24" t="str">
        <f t="shared" si="3"/>
        <v/>
      </c>
      <c r="H68" s="3"/>
      <c r="I68" s="3"/>
      <c r="J68" s="3"/>
      <c r="K68" s="3"/>
    </row>
    <row r="69" spans="1:11" customForma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customFormat="1" ht="45.95" customHeight="1" x14ac:dyDescent="0.25">
      <c r="A70" s="3"/>
      <c r="B70" s="22" t="s">
        <v>15</v>
      </c>
      <c r="C70" s="22" t="s">
        <v>0</v>
      </c>
      <c r="D70" s="22" t="s">
        <v>1</v>
      </c>
      <c r="E70" s="22" t="s">
        <v>4</v>
      </c>
      <c r="F70" s="22" t="s">
        <v>2</v>
      </c>
      <c r="G70" s="22" t="s">
        <v>3</v>
      </c>
      <c r="H70" s="3"/>
      <c r="I70" s="3"/>
      <c r="J70" s="3"/>
      <c r="K70" s="3"/>
    </row>
    <row r="71" spans="1:11" customFormat="1" ht="18" x14ac:dyDescent="0.25">
      <c r="A71" s="3"/>
      <c r="B71" s="38"/>
      <c r="C71" s="15"/>
      <c r="D71" s="16"/>
      <c r="E71" s="23" t="str">
        <f>IF(C71="","",VLOOKUP(C71,Ingredientes!B:C,2,0))</f>
        <v/>
      </c>
      <c r="F71" s="24" t="str">
        <f>IF(C71="","",VLOOKUP(C71,Ingredientes!B:E,3,0))</f>
        <v/>
      </c>
      <c r="G71" s="24" t="str">
        <f>IF(C71="","",F71/E71*D71)</f>
        <v/>
      </c>
      <c r="H71" s="3"/>
      <c r="I71" s="25" t="s">
        <v>5</v>
      </c>
      <c r="J71" s="20" t="str">
        <f>IF(G71="","",SUM(G71:G84))</f>
        <v/>
      </c>
      <c r="K71" s="3"/>
    </row>
    <row r="72" spans="1:11" customFormat="1" ht="18" x14ac:dyDescent="0.25">
      <c r="A72" s="3"/>
      <c r="B72" s="38"/>
      <c r="C72" s="32"/>
      <c r="D72" s="32"/>
      <c r="E72" s="23" t="str">
        <f>IF(C72="","",VLOOKUP(C72,Ingredientes!B:C,2,0))</f>
        <v/>
      </c>
      <c r="F72" s="24" t="str">
        <f>IF(C72="","",VLOOKUP(C72,Ingredientes!B:E,3,0))</f>
        <v/>
      </c>
      <c r="G72" s="24" t="str">
        <f t="shared" ref="G72:G85" si="4">IF(C72="","",F72/E72*D72)</f>
        <v/>
      </c>
      <c r="H72" s="3"/>
      <c r="I72" s="33" t="s">
        <v>6</v>
      </c>
      <c r="J72" s="18"/>
      <c r="K72" s="3"/>
    </row>
    <row r="73" spans="1:11" customFormat="1" ht="18" x14ac:dyDescent="0.25">
      <c r="A73" s="3"/>
      <c r="B73" s="38"/>
      <c r="C73" s="32"/>
      <c r="D73" s="32"/>
      <c r="E73" s="23" t="str">
        <f>IF(C73="","",VLOOKUP(C73,Ingredientes!B:C,2,0))</f>
        <v/>
      </c>
      <c r="F73" s="24" t="str">
        <f>IF(C73="","",VLOOKUP(C73,Ingredientes!B:E,3,0))</f>
        <v/>
      </c>
      <c r="G73" s="24" t="str">
        <f t="shared" si="4"/>
        <v/>
      </c>
      <c r="H73" s="3"/>
      <c r="I73" s="25" t="s">
        <v>7</v>
      </c>
      <c r="J73" s="20" t="str">
        <f>IF(J72="","",J72-J71)</f>
        <v/>
      </c>
      <c r="K73" s="3"/>
    </row>
    <row r="74" spans="1:11" customFormat="1" ht="18" x14ac:dyDescent="0.25">
      <c r="A74" s="3"/>
      <c r="B74" s="38"/>
      <c r="C74" s="32"/>
      <c r="D74" s="32"/>
      <c r="E74" s="23" t="str">
        <f>IF(C74="","",VLOOKUP(C74,Ingredientes!B:C,2,0))</f>
        <v/>
      </c>
      <c r="F74" s="24" t="str">
        <f>IF(C74="","",VLOOKUP(C74,Ingredientes!B:E,3,0))</f>
        <v/>
      </c>
      <c r="G74" s="24" t="str">
        <f t="shared" si="4"/>
        <v/>
      </c>
      <c r="H74" s="3"/>
      <c r="I74" s="25" t="s">
        <v>8</v>
      </c>
      <c r="J74" s="26" t="str">
        <f>IF(J73="","",J73/J71)</f>
        <v/>
      </c>
      <c r="K74" s="3"/>
    </row>
    <row r="75" spans="1:11" customFormat="1" ht="18" x14ac:dyDescent="0.25">
      <c r="A75" s="3"/>
      <c r="B75" s="38"/>
      <c r="C75" s="32"/>
      <c r="D75" s="32"/>
      <c r="E75" s="23" t="str">
        <f>IF(C75="","",VLOOKUP(C75,Ingredientes!B:C,2,0))</f>
        <v/>
      </c>
      <c r="F75" s="24" t="str">
        <f>IF(C75="","",VLOOKUP(C75,Ingredientes!B:E,3,0))</f>
        <v/>
      </c>
      <c r="G75" s="24" t="str">
        <f t="shared" si="4"/>
        <v/>
      </c>
      <c r="H75" s="3"/>
      <c r="I75" s="33" t="s">
        <v>9</v>
      </c>
      <c r="J75" s="19"/>
      <c r="K75" s="3"/>
    </row>
    <row r="76" spans="1:11" customFormat="1" ht="18" x14ac:dyDescent="0.25">
      <c r="A76" s="3"/>
      <c r="B76" s="38"/>
      <c r="C76" s="32"/>
      <c r="D76" s="32"/>
      <c r="E76" s="23" t="str">
        <f>IF(C76="","",VLOOKUP(C76,Ingredientes!B:C,2,0))</f>
        <v/>
      </c>
      <c r="F76" s="24" t="str">
        <f>IF(C76="","",VLOOKUP(C76,Ingredientes!B:E,3,0))</f>
        <v/>
      </c>
      <c r="G76" s="24" t="str">
        <f t="shared" si="4"/>
        <v/>
      </c>
      <c r="H76" s="3"/>
      <c r="I76" s="27" t="s">
        <v>10</v>
      </c>
      <c r="J76" s="28" t="str">
        <f>IF(J75="","",(J71*J75)+J71)</f>
        <v/>
      </c>
      <c r="K76" s="3"/>
    </row>
    <row r="77" spans="1:11" customFormat="1" ht="18" x14ac:dyDescent="0.25">
      <c r="A77" s="3"/>
      <c r="B77" s="38"/>
      <c r="C77" s="32"/>
      <c r="D77" s="32"/>
      <c r="E77" s="23" t="str">
        <f>IF(C77="","",VLOOKUP(C77,Ingredientes!B:C,2,0))</f>
        <v/>
      </c>
      <c r="F77" s="24" t="str">
        <f>IF(C77="","",VLOOKUP(C77,Ingredientes!B:E,3,0))</f>
        <v/>
      </c>
      <c r="G77" s="24" t="str">
        <f t="shared" si="4"/>
        <v/>
      </c>
      <c r="H77" s="3"/>
      <c r="I77" s="3"/>
      <c r="J77" s="3"/>
      <c r="K77" s="3"/>
    </row>
    <row r="78" spans="1:11" customFormat="1" ht="18" x14ac:dyDescent="0.25">
      <c r="A78" s="3"/>
      <c r="B78" s="38"/>
      <c r="C78" s="32"/>
      <c r="D78" s="32"/>
      <c r="E78" s="23" t="str">
        <f>IF(C78="","",VLOOKUP(C78,Ingredientes!B:C,2,0))</f>
        <v/>
      </c>
      <c r="F78" s="24" t="str">
        <f>IF(C78="","",VLOOKUP(C78,Ingredientes!B:E,3,0))</f>
        <v/>
      </c>
      <c r="G78" s="24" t="str">
        <f t="shared" si="4"/>
        <v/>
      </c>
      <c r="H78" s="3"/>
      <c r="I78" s="3"/>
      <c r="J78" s="3"/>
      <c r="K78" s="3"/>
    </row>
    <row r="79" spans="1:11" customFormat="1" ht="18" x14ac:dyDescent="0.25">
      <c r="A79" s="3"/>
      <c r="B79" s="38"/>
      <c r="C79" s="32"/>
      <c r="D79" s="32"/>
      <c r="E79" s="23" t="str">
        <f>IF(C79="","",VLOOKUP(C79,Ingredientes!B:C,2,0))</f>
        <v/>
      </c>
      <c r="F79" s="24" t="str">
        <f>IF(C79="","",VLOOKUP(C79,Ingredientes!B:E,3,0))</f>
        <v/>
      </c>
      <c r="G79" s="24" t="str">
        <f t="shared" si="4"/>
        <v/>
      </c>
      <c r="H79" s="3"/>
      <c r="I79" s="3"/>
      <c r="J79" s="3"/>
      <c r="K79" s="3"/>
    </row>
    <row r="80" spans="1:11" customFormat="1" ht="18" x14ac:dyDescent="0.25">
      <c r="A80" s="3"/>
      <c r="B80" s="38"/>
      <c r="C80" s="32"/>
      <c r="D80" s="32"/>
      <c r="E80" s="23" t="str">
        <f>IF(C80="","",VLOOKUP(C80,Ingredientes!B:C,2,0))</f>
        <v/>
      </c>
      <c r="F80" s="24" t="str">
        <f>IF(C80="","",VLOOKUP(C80,Ingredientes!B:E,3,0))</f>
        <v/>
      </c>
      <c r="G80" s="24" t="str">
        <f t="shared" si="4"/>
        <v/>
      </c>
      <c r="H80" s="3"/>
      <c r="I80" s="3"/>
      <c r="J80" s="3"/>
      <c r="K80" s="3"/>
    </row>
    <row r="81" spans="1:11" customFormat="1" ht="18" x14ac:dyDescent="0.25">
      <c r="A81" s="3"/>
      <c r="B81" s="38"/>
      <c r="C81" s="32"/>
      <c r="D81" s="32"/>
      <c r="E81" s="23" t="str">
        <f>IF(C81="","",VLOOKUP(C81,Ingredientes!B:C,2,0))</f>
        <v/>
      </c>
      <c r="F81" s="24" t="str">
        <f>IF(C81="","",VLOOKUP(C81,Ingredientes!B:E,3,0))</f>
        <v/>
      </c>
      <c r="G81" s="24" t="str">
        <f t="shared" si="4"/>
        <v/>
      </c>
      <c r="H81" s="3"/>
      <c r="I81" s="3"/>
      <c r="J81" s="3"/>
      <c r="K81" s="3"/>
    </row>
    <row r="82" spans="1:11" customFormat="1" ht="18" x14ac:dyDescent="0.25">
      <c r="A82" s="3"/>
      <c r="B82" s="38"/>
      <c r="C82" s="32"/>
      <c r="D82" s="32"/>
      <c r="E82" s="23" t="str">
        <f>IF(C82="","",VLOOKUP(C82,Ingredientes!B:C,2,0))</f>
        <v/>
      </c>
      <c r="F82" s="24" t="str">
        <f>IF(C82="","",VLOOKUP(C82,Ingredientes!B:E,3,0))</f>
        <v/>
      </c>
      <c r="G82" s="24" t="str">
        <f t="shared" si="4"/>
        <v/>
      </c>
      <c r="H82" s="3"/>
      <c r="I82" s="3"/>
      <c r="J82" s="3"/>
      <c r="K82" s="3"/>
    </row>
    <row r="83" spans="1:11" customFormat="1" ht="18" x14ac:dyDescent="0.25">
      <c r="A83" s="3"/>
      <c r="B83" s="38"/>
      <c r="C83" s="32"/>
      <c r="D83" s="32"/>
      <c r="E83" s="23" t="str">
        <f>IF(C83="","",VLOOKUP(C83,Ingredientes!B:C,2,0))</f>
        <v/>
      </c>
      <c r="F83" s="24" t="str">
        <f>IF(C83="","",VLOOKUP(C83,Ingredientes!B:E,3,0))</f>
        <v/>
      </c>
      <c r="G83" s="24" t="str">
        <f t="shared" si="4"/>
        <v/>
      </c>
      <c r="H83" s="3"/>
      <c r="I83" s="3"/>
      <c r="J83" s="3"/>
      <c r="K83" s="3"/>
    </row>
    <row r="84" spans="1:11" customFormat="1" ht="18" x14ac:dyDescent="0.25">
      <c r="A84" s="3"/>
      <c r="B84" s="38"/>
      <c r="C84" s="32"/>
      <c r="D84" s="32"/>
      <c r="E84" s="23" t="str">
        <f>IF(C84="","",VLOOKUP(C84,Ingredientes!B:C,2,0))</f>
        <v/>
      </c>
      <c r="F84" s="24" t="str">
        <f>IF(C84="","",VLOOKUP(C84,Ingredientes!B:E,3,0))</f>
        <v/>
      </c>
      <c r="G84" s="24" t="str">
        <f t="shared" si="4"/>
        <v/>
      </c>
      <c r="H84" s="3"/>
      <c r="I84" s="3"/>
      <c r="J84" s="3"/>
      <c r="K84" s="3"/>
    </row>
    <row r="85" spans="1:11" customFormat="1" ht="18" x14ac:dyDescent="0.25">
      <c r="A85" s="3"/>
      <c r="B85" s="38"/>
      <c r="C85" s="32"/>
      <c r="D85" s="32"/>
      <c r="E85" s="23" t="str">
        <f>IF(C85="","",VLOOKUP(C85,Ingredientes!B:C,2,0))</f>
        <v/>
      </c>
      <c r="F85" s="24" t="str">
        <f>IF(C85="","",VLOOKUP(C85,Ingredientes!B:E,3,0))</f>
        <v/>
      </c>
      <c r="G85" s="24" t="str">
        <f t="shared" si="4"/>
        <v/>
      </c>
      <c r="H85" s="3"/>
      <c r="I85" s="3"/>
      <c r="J85" s="3"/>
      <c r="K85" s="3"/>
    </row>
    <row r="86" spans="1:11" customForma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customFormat="1" ht="45.95" customHeight="1" x14ac:dyDescent="0.25">
      <c r="A87" s="3"/>
      <c r="B87" s="22" t="s">
        <v>16</v>
      </c>
      <c r="C87" s="22" t="s">
        <v>0</v>
      </c>
      <c r="D87" s="22" t="s">
        <v>1</v>
      </c>
      <c r="E87" s="22" t="s">
        <v>4</v>
      </c>
      <c r="F87" s="22" t="s">
        <v>2</v>
      </c>
      <c r="G87" s="22" t="s">
        <v>3</v>
      </c>
      <c r="H87" s="3"/>
      <c r="I87" s="3"/>
      <c r="J87" s="3"/>
      <c r="K87" s="3"/>
    </row>
    <row r="88" spans="1:11" customFormat="1" ht="18" x14ac:dyDescent="0.25">
      <c r="A88" s="3"/>
      <c r="B88" s="38"/>
      <c r="C88" s="15"/>
      <c r="D88" s="16"/>
      <c r="E88" s="23" t="str">
        <f>IF(C88="","",VLOOKUP(C88,Ingredientes!B:C,2,0))</f>
        <v/>
      </c>
      <c r="F88" s="24" t="str">
        <f>IF(C88="","",VLOOKUP(C88,Ingredientes!B:E,3,0))</f>
        <v/>
      </c>
      <c r="G88" s="24" t="str">
        <f>IF(C88="","",F88/E88*D88)</f>
        <v/>
      </c>
      <c r="H88" s="3"/>
      <c r="I88" s="25" t="s">
        <v>5</v>
      </c>
      <c r="J88" s="20" t="str">
        <f>IF(G88="","",SUM(G88:G101))</f>
        <v/>
      </c>
      <c r="K88" s="3"/>
    </row>
    <row r="89" spans="1:11" customFormat="1" ht="18" x14ac:dyDescent="0.25">
      <c r="A89" s="3"/>
      <c r="B89" s="38"/>
      <c r="C89" s="32"/>
      <c r="D89" s="32"/>
      <c r="E89" s="23" t="str">
        <f>IF(C89="","",VLOOKUP(C89,Ingredientes!B:C,2,0))</f>
        <v/>
      </c>
      <c r="F89" s="24" t="str">
        <f>IF(C89="","",VLOOKUP(C89,Ingredientes!B:E,3,0))</f>
        <v/>
      </c>
      <c r="G89" s="24" t="str">
        <f t="shared" ref="G89:G101" si="5">IF(C89="","",F89/E89*D89)</f>
        <v/>
      </c>
      <c r="H89" s="3"/>
      <c r="I89" s="33" t="s">
        <v>6</v>
      </c>
      <c r="J89" s="18"/>
      <c r="K89" s="3"/>
    </row>
    <row r="90" spans="1:11" customFormat="1" ht="18" x14ac:dyDescent="0.25">
      <c r="A90" s="3"/>
      <c r="B90" s="38"/>
      <c r="C90" s="32"/>
      <c r="D90" s="32"/>
      <c r="E90" s="23" t="str">
        <f>IF(C90="","",VLOOKUP(C90,Ingredientes!B:C,2,0))</f>
        <v/>
      </c>
      <c r="F90" s="24" t="str">
        <f>IF(C90="","",VLOOKUP(C90,Ingredientes!B:E,3,0))</f>
        <v/>
      </c>
      <c r="G90" s="24" t="str">
        <f t="shared" si="5"/>
        <v/>
      </c>
      <c r="H90" s="3"/>
      <c r="I90" s="25" t="s">
        <v>7</v>
      </c>
      <c r="J90" s="20" t="str">
        <f>IF(J89="","",J89-J88)</f>
        <v/>
      </c>
      <c r="K90" s="3"/>
    </row>
    <row r="91" spans="1:11" customFormat="1" ht="18" x14ac:dyDescent="0.25">
      <c r="A91" s="3"/>
      <c r="B91" s="38"/>
      <c r="C91" s="32"/>
      <c r="D91" s="32"/>
      <c r="E91" s="23" t="str">
        <f>IF(C91="","",VLOOKUP(C91,Ingredientes!B:C,2,0))</f>
        <v/>
      </c>
      <c r="F91" s="24" t="str">
        <f>IF(C91="","",VLOOKUP(C91,Ingredientes!B:E,3,0))</f>
        <v/>
      </c>
      <c r="G91" s="24" t="str">
        <f t="shared" si="5"/>
        <v/>
      </c>
      <c r="H91" s="3"/>
      <c r="I91" s="25" t="s">
        <v>8</v>
      </c>
      <c r="J91" s="26" t="str">
        <f>IF(J90="","",J90/J88)</f>
        <v/>
      </c>
      <c r="K91" s="3"/>
    </row>
    <row r="92" spans="1:11" customFormat="1" ht="18" x14ac:dyDescent="0.25">
      <c r="A92" s="3"/>
      <c r="B92" s="38"/>
      <c r="C92" s="32"/>
      <c r="D92" s="32"/>
      <c r="E92" s="23" t="str">
        <f>IF(C92="","",VLOOKUP(C92,Ingredientes!B:C,2,0))</f>
        <v/>
      </c>
      <c r="F92" s="24" t="str">
        <f>IF(C92="","",VLOOKUP(C92,Ingredientes!B:E,3,0))</f>
        <v/>
      </c>
      <c r="G92" s="24" t="str">
        <f t="shared" si="5"/>
        <v/>
      </c>
      <c r="H92" s="3"/>
      <c r="I92" s="33" t="s">
        <v>9</v>
      </c>
      <c r="J92" s="19"/>
      <c r="K92" s="3"/>
    </row>
    <row r="93" spans="1:11" customFormat="1" ht="18" x14ac:dyDescent="0.25">
      <c r="A93" s="3"/>
      <c r="B93" s="38"/>
      <c r="C93" s="32"/>
      <c r="D93" s="32"/>
      <c r="E93" s="23" t="str">
        <f>IF(C93="","",VLOOKUP(C93,Ingredientes!B:C,2,0))</f>
        <v/>
      </c>
      <c r="F93" s="24" t="str">
        <f>IF(C93="","",VLOOKUP(C93,Ingredientes!B:E,3,0))</f>
        <v/>
      </c>
      <c r="G93" s="24" t="str">
        <f t="shared" si="5"/>
        <v/>
      </c>
      <c r="H93" s="3"/>
      <c r="I93" s="27" t="s">
        <v>10</v>
      </c>
      <c r="J93" s="28" t="str">
        <f>IF(J92="","",(J88*J92)+J88)</f>
        <v/>
      </c>
      <c r="K93" s="3"/>
    </row>
    <row r="94" spans="1:11" customFormat="1" ht="18" x14ac:dyDescent="0.25">
      <c r="A94" s="3"/>
      <c r="B94" s="38"/>
      <c r="C94" s="32"/>
      <c r="D94" s="32"/>
      <c r="E94" s="23" t="str">
        <f>IF(C94="","",VLOOKUP(C94,Ingredientes!B:C,2,0))</f>
        <v/>
      </c>
      <c r="F94" s="24" t="str">
        <f>IF(C94="","",VLOOKUP(C94,Ingredientes!B:E,3,0))</f>
        <v/>
      </c>
      <c r="G94" s="24" t="str">
        <f t="shared" si="5"/>
        <v/>
      </c>
      <c r="H94" s="3"/>
      <c r="I94" s="3"/>
      <c r="J94" s="3"/>
      <c r="K94" s="3"/>
    </row>
    <row r="95" spans="1:11" customFormat="1" ht="18" x14ac:dyDescent="0.25">
      <c r="A95" s="3"/>
      <c r="B95" s="38"/>
      <c r="C95" s="32"/>
      <c r="D95" s="32"/>
      <c r="E95" s="23" t="str">
        <f>IF(C95="","",VLOOKUP(C95,Ingredientes!B:C,2,0))</f>
        <v/>
      </c>
      <c r="F95" s="24" t="str">
        <f>IF(C95="","",VLOOKUP(C95,Ingredientes!B:E,3,0))</f>
        <v/>
      </c>
      <c r="G95" s="24" t="str">
        <f t="shared" si="5"/>
        <v/>
      </c>
      <c r="H95" s="3"/>
      <c r="I95" s="3"/>
      <c r="J95" s="3"/>
      <c r="K95" s="3"/>
    </row>
    <row r="96" spans="1:11" customFormat="1" ht="18" x14ac:dyDescent="0.25">
      <c r="A96" s="3"/>
      <c r="B96" s="38"/>
      <c r="C96" s="32"/>
      <c r="D96" s="32"/>
      <c r="E96" s="23" t="str">
        <f>IF(C96="","",VLOOKUP(C96,Ingredientes!B:C,2,0))</f>
        <v/>
      </c>
      <c r="F96" s="24" t="str">
        <f>IF(C96="","",VLOOKUP(C96,Ingredientes!B:E,3,0))</f>
        <v/>
      </c>
      <c r="G96" s="24" t="str">
        <f t="shared" si="5"/>
        <v/>
      </c>
      <c r="H96" s="3"/>
      <c r="I96" s="3"/>
      <c r="J96" s="3"/>
      <c r="K96" s="3"/>
    </row>
    <row r="97" spans="1:11" customFormat="1" ht="18" x14ac:dyDescent="0.25">
      <c r="A97" s="3"/>
      <c r="B97" s="38"/>
      <c r="C97" s="32"/>
      <c r="D97" s="32"/>
      <c r="E97" s="23" t="str">
        <f>IF(C97="","",VLOOKUP(C97,Ingredientes!B:C,2,0))</f>
        <v/>
      </c>
      <c r="F97" s="24" t="str">
        <f>IF(C97="","",VLOOKUP(C97,Ingredientes!B:E,3,0))</f>
        <v/>
      </c>
      <c r="G97" s="24" t="str">
        <f t="shared" si="5"/>
        <v/>
      </c>
      <c r="H97" s="3"/>
      <c r="I97" s="3"/>
      <c r="J97" s="3"/>
      <c r="K97" s="3"/>
    </row>
    <row r="98" spans="1:11" customFormat="1" ht="18" x14ac:dyDescent="0.25">
      <c r="A98" s="3"/>
      <c r="B98" s="38"/>
      <c r="C98" s="32"/>
      <c r="D98" s="32"/>
      <c r="E98" s="23" t="str">
        <f>IF(C98="","",VLOOKUP(C98,Ingredientes!B:C,2,0))</f>
        <v/>
      </c>
      <c r="F98" s="24" t="str">
        <f>IF(C98="","",VLOOKUP(C98,Ingredientes!B:E,3,0))</f>
        <v/>
      </c>
      <c r="G98" s="24" t="str">
        <f t="shared" si="5"/>
        <v/>
      </c>
      <c r="H98" s="3"/>
      <c r="I98" s="3"/>
      <c r="J98" s="3"/>
      <c r="K98" s="3"/>
    </row>
    <row r="99" spans="1:11" customFormat="1" ht="18" x14ac:dyDescent="0.25">
      <c r="A99" s="3"/>
      <c r="B99" s="38"/>
      <c r="C99" s="32"/>
      <c r="D99" s="32"/>
      <c r="E99" s="23" t="str">
        <f>IF(C99="","",VLOOKUP(C99,Ingredientes!B:C,2,0))</f>
        <v/>
      </c>
      <c r="F99" s="24" t="str">
        <f>IF(C99="","",VLOOKUP(C99,Ingredientes!B:E,3,0))</f>
        <v/>
      </c>
      <c r="G99" s="24" t="str">
        <f t="shared" si="5"/>
        <v/>
      </c>
      <c r="H99" s="3"/>
      <c r="I99" s="3"/>
      <c r="J99" s="3"/>
      <c r="K99" s="3"/>
    </row>
    <row r="100" spans="1:11" customFormat="1" ht="18" x14ac:dyDescent="0.25">
      <c r="A100" s="3"/>
      <c r="B100" s="38"/>
      <c r="C100" s="32"/>
      <c r="D100" s="32"/>
      <c r="E100" s="23" t="str">
        <f>IF(C100="","",VLOOKUP(C100,Ingredientes!B:C,2,0))</f>
        <v/>
      </c>
      <c r="F100" s="24" t="str">
        <f>IF(C100="","",VLOOKUP(C100,Ingredientes!B:E,3,0))</f>
        <v/>
      </c>
      <c r="G100" s="24" t="str">
        <f t="shared" si="5"/>
        <v/>
      </c>
      <c r="H100" s="3"/>
      <c r="I100" s="3"/>
      <c r="J100" s="3"/>
      <c r="K100" s="3"/>
    </row>
    <row r="101" spans="1:11" customFormat="1" ht="18" x14ac:dyDescent="0.25">
      <c r="A101" s="3"/>
      <c r="B101" s="38"/>
      <c r="C101" s="32"/>
      <c r="D101" s="32"/>
      <c r="E101" s="23" t="str">
        <f>IF(C101="","",VLOOKUP(C101,Ingredientes!B:C,2,0))</f>
        <v/>
      </c>
      <c r="F101" s="24" t="str">
        <f>IF(C101="","",VLOOKUP(C101,Ingredientes!B:E,3,0))</f>
        <v/>
      </c>
      <c r="G101" s="24" t="str">
        <f t="shared" si="5"/>
        <v/>
      </c>
      <c r="H101" s="3"/>
      <c r="I101" s="3"/>
      <c r="J101" s="3"/>
      <c r="K101" s="3"/>
    </row>
    <row r="102" spans="1:11" customForma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customForma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customForma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customForma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customForma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customForma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</sheetData>
  <sheetProtection algorithmName="SHA-512" hashValue="GPlakB89VE+H9mpugdpKfrjKEONZKV8kFtF9AUMe7f+HOt5nJPKOMDlcgicbHhJlclq/ectV9l3GUNCtsFhqXQ==" saltValue="yx7i9P8WUtp0qdnOMINTRA==" spinCount="100000" sheet="1" objects="1" scenarios="1"/>
  <mergeCells count="8">
    <mergeCell ref="B88:B101"/>
    <mergeCell ref="B1:C3"/>
    <mergeCell ref="D1:G3"/>
    <mergeCell ref="B5:B18"/>
    <mergeCell ref="B21:B35"/>
    <mergeCell ref="B38:B52"/>
    <mergeCell ref="B55:B68"/>
    <mergeCell ref="B71:B85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Ingredientes</vt:lpstr>
      <vt:lpstr>Custo Unitário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</cp:lastModifiedBy>
  <dcterms:created xsi:type="dcterms:W3CDTF">2025-05-26T23:19:01Z</dcterms:created>
  <dcterms:modified xsi:type="dcterms:W3CDTF">2025-05-27T01:15:21Z</dcterms:modified>
</cp:coreProperties>
</file>